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Date" sheetId="1" r:id="rId4"/>
    <sheet state="visible" name="Sheet2" sheetId="2" r:id="rId5"/>
    <sheet state="visible" name="By Region" sheetId="3" r:id="rId6"/>
    <sheet state="visible" name="Zanzibar Schools" sheetId="4" r:id="rId7"/>
    <sheet state="visible" name="Notes" sheetId="5" r:id="rId8"/>
    <sheet state="visible" name="Key" sheetId="6" r:id="rId9"/>
  </sheets>
  <definedNames/>
  <calcPr/>
  <extLst>
    <ext uri="GoogleSheetsCustomDataVersion2">
      <go:sheetsCustomData xmlns:go="http://customooxmlschemas.google.com/" r:id="rId10" roundtripDataChecksum="hLrtAzShwOe6bCRV3d4NAWUOcUIpe6DKgfeRUSieLH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======
ID#AAABzbPkgaw
tc={1a5f70fd-c72a-4e94-88ee-620b06111aeb}    (2026-02-12 18:22:00)
[Threaded comment]
 Your version of Excel allows you to read this threaded comment; however, any edits to it will get removed if the file is opened in a newer version of Excel. Learn more: https://go.microsoft.com/fwlink/?linkid=870924
Comment:
	included in the SPARC+ installation</t>
      </text>
    </comment>
    <comment authorId="0" ref="E14">
      <text>
        <t xml:space="preserve">======
ID#AAABzbPkga0
tc={03e596ea-948e-4749-82d3-b5ec00c64796}    (2026-02-12 18:22:00)
[Threaded comment]
 Your version of Excel allows you to read this threaded comment; however, any edits to it will get removed if the file is opened in a newer version of Excel. Learn more: https://go.microsoft.com/fwlink/?linkid=870924
Comment:
	included in the SPARC+ installation</t>
      </text>
    </comment>
    <comment authorId="0" ref="E13">
      <text>
        <t xml:space="preserve">======
ID#AAABzbPkga8
tc={ef0fb9b3-c1c7-47a2-98c3-b7aec3eba518}    (2026-02-12 18:22:00)
[Threaded comment]
 Your version of Excel allows you to read this threaded comment; however, any edits to it will get removed if the file is opened in a newer version of Excel. Learn more: https://go.microsoft.com/fwlink/?linkid=870924
Comment:
	included in the SPARC+ installation</t>
      </text>
    </comment>
    <comment authorId="0" ref="E12">
      <text>
        <t xml:space="preserve">======
ID#AAABzbPkga4
tc={6e17bb6f-f32a-44a0-95fd-e4cd7de077c9}    (2026-02-12 18:22:00)
[Threaded comment]
 Your version of Excel allows you to read this threaded comment; however, any edits to it will get removed if the file is opened in a newer version of Excel. Learn more: https://go.microsoft.com/fwlink/?linkid=870924
Comment:
	included in the SPARC+ installation</t>
      </text>
    </comment>
    <comment authorId="0" ref="E11">
      <text>
        <t xml:space="preserve">======
ID#AAABzbPkgas
tc={69d1c632-8c73-432e-a57e-0cede1ea2473}    (2026-02-12 18:22:00)
[Threaded comment]
 Your version of Excel allows you to read this threaded comment; however, any edits to it will get removed if the file is opened in a newer version of Excel. Learn more: https://go.microsoft.com/fwlink/?linkid=870924
Comment:
	included in the SPARC+ installation</t>
      </text>
    </comment>
  </commentList>
  <extLst>
    <ext uri="GoogleSheetsCustomDataVersion2">
      <go:sheetsCustomData xmlns:go="http://customooxmlschemas.google.com/" r:id="rId1" roundtripDataSignature="AMtx7mjry2d6dj5nXbJl9lGpF9rjO37vJw=="/>
    </ext>
  </extLst>
</comments>
</file>

<file path=xl/sharedStrings.xml><?xml version="1.0" encoding="utf-8"?>
<sst xmlns="http://schemas.openxmlformats.org/spreadsheetml/2006/main" count="856" uniqueCount="305">
  <si>
    <t>Powering Potential Implementations</t>
  </si>
  <si>
    <t>Year</t>
  </si>
  <si>
    <t>Month</t>
  </si>
  <si>
    <t>Implementation</t>
  </si>
  <si>
    <t>School</t>
  </si>
  <si>
    <t>District</t>
  </si>
  <si>
    <t>Country</t>
  </si>
  <si>
    <t>March</t>
  </si>
  <si>
    <t>one laptop (one week training)</t>
  </si>
  <si>
    <t>Banjika</t>
  </si>
  <si>
    <t>Karatu</t>
  </si>
  <si>
    <t>Tanzania</t>
  </si>
  <si>
    <t>November</t>
  </si>
  <si>
    <t>solar power system</t>
  </si>
  <si>
    <t>February</t>
  </si>
  <si>
    <t>Phase 1 (5 computers)</t>
  </si>
  <si>
    <t>Training</t>
  </si>
  <si>
    <t>June,
Sept.-Oct.
Dec.</t>
  </si>
  <si>
    <t>March,
June,
Nov.,
Dec.</t>
  </si>
  <si>
    <t>August</t>
  </si>
  <si>
    <t>Phase 1</t>
  </si>
  <si>
    <t>Noonkodin</t>
  </si>
  <si>
    <t>Monduli</t>
  </si>
  <si>
    <t>September</t>
  </si>
  <si>
    <t>First installation of RACHEL</t>
  </si>
  <si>
    <t>October</t>
  </si>
  <si>
    <t>Training workshop (10 days)</t>
  </si>
  <si>
    <t>Olturoto Primary School</t>
  </si>
  <si>
    <t>Arusha</t>
  </si>
  <si>
    <t>May</t>
  </si>
  <si>
    <t>Phase 2 (15 computers)</t>
  </si>
  <si>
    <t>June-October</t>
  </si>
  <si>
    <t>Training - 5 month course for 23
Form 4 leavers from the district</t>
  </si>
  <si>
    <t>Banjika (students from Banjika and other district schools)</t>
  </si>
  <si>
    <t>Phase 1 (5 computers, solar, RACHEL)</t>
  </si>
  <si>
    <t>Welwel</t>
  </si>
  <si>
    <t>Florian</t>
  </si>
  <si>
    <t>Slahamo</t>
  </si>
  <si>
    <t>Endallah</t>
  </si>
  <si>
    <t>Baray</t>
  </si>
  <si>
    <t>July-Aug.</t>
  </si>
  <si>
    <t>Phase 1 (5 computers, solar, RACHEL</t>
  </si>
  <si>
    <t>Nainokanoka</t>
  </si>
  <si>
    <t>Ngorongoro</t>
  </si>
  <si>
    <t>SoitSambu</t>
  </si>
  <si>
    <t>Lake Natron</t>
  </si>
  <si>
    <t>Pi-oneer</t>
  </si>
  <si>
    <t>Rigichia</t>
  </si>
  <si>
    <t>Serengeti</t>
  </si>
  <si>
    <t>June</t>
  </si>
  <si>
    <t>10 computers funded by Hassan Maajar Trust. Network installation.</t>
  </si>
  <si>
    <t>Shimbwe</t>
  </si>
  <si>
    <t>Moshi</t>
  </si>
  <si>
    <t>Nov.-Dec.</t>
  </si>
  <si>
    <t>Phase 1 (5 computers, solar, RACHEL, Pi-oneer</t>
  </si>
  <si>
    <t>Kabasa</t>
  </si>
  <si>
    <t>Bunda</t>
  </si>
  <si>
    <t>Mekomariro</t>
  </si>
  <si>
    <t>Sazira</t>
  </si>
  <si>
    <t>Pi-oneer, Phase 2</t>
  </si>
  <si>
    <t>Zanzibar – 16 schools</t>
  </si>
  <si>
    <t>various Zanzibar districts</t>
  </si>
  <si>
    <t>Pi-oneer Training</t>
  </si>
  <si>
    <t>Zanzibar-Training</t>
  </si>
  <si>
    <t>upgrade software</t>
  </si>
  <si>
    <t>Soitsambu</t>
  </si>
  <si>
    <t>January</t>
  </si>
  <si>
    <t>Phase 2 and upgrade software</t>
  </si>
  <si>
    <r>
      <rPr>
        <rFont val="Arial"/>
        <color rgb="FF000000"/>
        <sz val="11.0"/>
      </rPr>
      <t>J</t>
    </r>
    <r>
      <rPr>
        <rFont val="Arial"/>
        <color rgb="FF000000"/>
        <sz val="11.0"/>
      </rPr>
      <t>anuary</t>
    </r>
  </si>
  <si>
    <t>December</t>
  </si>
  <si>
    <t>Training (Pi Workshop)</t>
  </si>
  <si>
    <t>for all 12 Karatu, Bunda &amp; Ngorongoro schools. Held at Nainokanoka school in Ngorongoro District</t>
  </si>
  <si>
    <t>Upgrade and replace missing equipment</t>
  </si>
  <si>
    <t>SPARC+ (Phase 2)</t>
  </si>
  <si>
    <t>Shule Direct pilot installation</t>
  </si>
  <si>
    <t>Shule Direct Training</t>
  </si>
  <si>
    <t>April</t>
  </si>
  <si>
    <t xml:space="preserve">Sazira </t>
  </si>
  <si>
    <t>July</t>
  </si>
  <si>
    <t>SPARC (Phase 1)</t>
  </si>
  <si>
    <t>San Francisco Rio Itaya (Peru)</t>
  </si>
  <si>
    <t>Belen</t>
  </si>
  <si>
    <t>Peru</t>
  </si>
  <si>
    <t>SPARC+</t>
  </si>
  <si>
    <t>Shule Direct installation</t>
  </si>
  <si>
    <t>Mgutwa</t>
  </si>
  <si>
    <t>Simanjiro</t>
  </si>
  <si>
    <t>SPARC</t>
  </si>
  <si>
    <t>Rigicha</t>
  </si>
  <si>
    <t>Pi-oneer Training and equipment upgrades (3 workshops)</t>
  </si>
  <si>
    <t xml:space="preserve">16 schools </t>
  </si>
  <si>
    <t>Zanzibar districts</t>
  </si>
  <si>
    <t>Nanenane</t>
  </si>
  <si>
    <t>Morogoro Urban</t>
  </si>
  <si>
    <t>Karatu District Project Year 1 schools</t>
  </si>
  <si>
    <t>Mlimani Sumawe</t>
  </si>
  <si>
    <t>Domel</t>
  </si>
  <si>
    <t>Endabash</t>
  </si>
  <si>
    <t>Mlimani Sumwae</t>
  </si>
  <si>
    <t>SPARC+ installation</t>
  </si>
  <si>
    <t>Chaenda</t>
  </si>
  <si>
    <t>Oldeani</t>
  </si>
  <si>
    <t>Upper Kitete</t>
  </si>
  <si>
    <t>SPARC+ Installation</t>
  </si>
  <si>
    <t>Diego</t>
  </si>
  <si>
    <t>Kilimatembo</t>
  </si>
  <si>
    <t>Kilimamoja</t>
  </si>
  <si>
    <t>Marang</t>
  </si>
  <si>
    <t>Python</t>
  </si>
  <si>
    <t>import pandas as pd</t>
  </si>
  <si>
    <t># Load the CSV file</t>
  </si>
  <si>
    <t>df = pd.read_csv('Implementation Timeline for Website_2007-2025.xlsx - By Date.csv')</t>
  </si>
  <si>
    <t># Let's inspect the first few rows and the columns to understand the data structure</t>
  </si>
  <si>
    <t>print(df.columns)</t>
  </si>
  <si>
    <t>print(df.head())</t>
  </si>
  <si>
    <t>Code output</t>
  </si>
  <si>
    <t>Index(['Powering Potential Implementations', 'Unnamed: 1', 'Unnamed: 2',</t>
  </si>
  <si>
    <t>Unnamed: 3', 'Unnamed: 4', 'Unnamed: 5'],</t>
  </si>
  <si>
    <t>dtype='object')</t>
  </si>
  <si>
    <t>Powering Potential Implementations Unnamed: 1                      Unnamed: 2 Unnamed: 3 Unnamed: 4 Unnamed: 5</t>
  </si>
  <si>
    <t>0                                NaN        NaN                             NaN        NaN        NaN        NaN</t>
  </si>
  <si>
    <t>1                               Year      Month                  Implementation     School   District    Country</t>
  </si>
  <si>
    <t>2                                NaN        NaN                             NaN        NaN        NaN        NaN</t>
  </si>
  <si>
    <t>3                               2007      March  one laptop (one week training)    Banjika     Karatu   Tanzania</t>
  </si>
  <si>
    <t>4                               2008   November              solar power system    Banjika     Karatu   Tanzania</t>
  </si>
  <si>
    <t># Clean up the dataframe by setting the correct headers</t>
  </si>
  <si>
    <t># The headers seem to be in row 1 (index 1)</t>
  </si>
  <si>
    <t>df.columns = df.iloc[1]</t>
  </si>
  <si>
    <t>df = df.iloc[2:].dropna(how='all').reset_index(drop=True)</t>
  </si>
  <si>
    <t># Let's inspect the cleaned data</t>
  </si>
  <si>
    <t>print(df.head(20))</t>
  </si>
  <si>
    <t>print(df['School'].unique())</t>
  </si>
  <si>
    <t>1   Year                       Month                                                      Implementation                                                      School District   Country</t>
  </si>
  <si>
    <t>0   2007                       March                                      one laptop (one week training)                                                     Banjika   Karatu  Tanzania</t>
  </si>
  <si>
    <t>1   2008                    November                                                  solar power system                                                     Banjika   Karatu  Tanzania</t>
  </si>
  <si>
    <t>2   2008                    February                                               Phase 1 (5 computers)                                                     Banjika   Karatu  Tanzania</t>
  </si>
  <si>
    <t>3   2008                    February                                                            Training                                                     Banjika   Karatu  Tanzania</t>
  </si>
  <si>
    <t>4   2009     June,\nSept.-Oct.\nDec.                                                            Training                                                     Banjika   Karatu  Tanzania</t>
  </si>
  <si>
    <t>5   2010  March,\nJune,\nNov.,\nDec.                                                            Training                                                     Banjika   Karatu  Tanzania</t>
  </si>
  <si>
    <t>6   2010                      August                                                             Phase 1                                                   Noonkodin  Monduli  Tanzania</t>
  </si>
  <si>
    <t>7   2010                      August                                                            Training                                                   Noonkodin  Monduli  Tanzania</t>
  </si>
  <si>
    <t>8   2010                   September                                        First installation of RACHEL                                                     Banjika   Karatu  Tanzania</t>
  </si>
  <si>
    <t>9   2010                     October                                         Training workshop (10 days)                                     Olturoto Primary School   Arusha  Tanzania</t>
  </si>
  <si>
    <t>10  2011                         May                                              Phase 2 (15 computers)                                                     Banjika   Karatu  Tanzania</t>
  </si>
  <si>
    <t>11  2011                June-October  Training - 5 month course for 23\nForm 4 leavers from the district  Banjika (students from Banjika and other district schools)   Karatu  Tanzania</t>
  </si>
  <si>
    <t>12  2011                     October                                Phase 1 (5 computers, solar, RACHEL)                                                      Welwel   Karatu  Tanzania</t>
  </si>
  <si>
    <t>13  2011                     October                                                            Training                                                      Welwel   Karatu  Tanzania</t>
  </si>
  <si>
    <t>14  2011                     October                                Phase 1 (5 computers, solar, RACHEL)                                                     Florian   Karatu  Tanzania</t>
  </si>
  <si>
    <t>15  2011                     October                                                            Training                                                     Florian   Karatu  Tanzania</t>
  </si>
  <si>
    <t>16  2012                     October                                Phase 1 (5 computers, solar, RACHEL)                                                     Slahamo   Karatu  Tanzania</t>
  </si>
  <si>
    <t>17  2012                     October                                                            Training                                                     Slahamo   Karatu  Tanzania</t>
  </si>
  <si>
    <t>18  2012                     October                                Phase 1 (5 computers, solar, RACHEL)                                                    Endallah   Karatu  Tanzania</t>
  </si>
  <si>
    <t>19  2012                     October                                                            Training                                                    Endallah   Karatu  Tanzania</t>
  </si>
  <si>
    <t>['Banjika' 'Noonkodin' 'Olturoto Primary School'</t>
  </si>
  <si>
    <t>Banjika (students from Banjika and other district schools)' 'Welwel'</t>
  </si>
  <si>
    <t>Florian' 'Slahamo' 'Endallah' 'Baray' 'Nainokanoka' 'SoitSambu'</t>
  </si>
  <si>
    <t>Lake Natron' 'Rigichia' 'Shimbwe' 'Kabasa' 'Mekomariro' 'Sazira'</t>
  </si>
  <si>
    <t>Zanzibar – 16 schools' 'Zanzibar-Training' 'Soitsambu'</t>
  </si>
  <si>
    <t>for all 12 Karatu, Bunda &amp; Ngorongoro schools. Held at Nainokanoka school in Ngorongoro District'</t>
  </si>
  <si>
    <t>Sazira ' 'San Francisco Rio Itaya (Peru)' 'Mgutwa' 'Rigicha'</t>
  </si>
  <si>
    <t>16 schools ' 'Nanenane' 'Karatu District Project Year 1 schools'</t>
  </si>
  <si>
    <t>Mlimani Sumawe' 'Domel' 'Endabash' 'Mlimani Sumwae' 'Chaenda' 'Oldeani'</t>
  </si>
  <si>
    <t>Upper Kitete' 'Diego' 'Kilimatembo' 'Kilimamoja' 'Marang']</t>
  </si>
  <si>
    <t># Let's clean up the schools slightly or list them grouped by the first year they appear in the records.</t>
  </si>
  <si>
    <t># Convert Year to numeric just in case, removing extra whitespace</t>
  </si>
  <si>
    <t>df['Year'] = pd.to_numeric(df['Year'].astype(str).str.strip(), errors='coerce')</t>
  </si>
  <si>
    <t># Drop rows where School or Year is null</t>
  </si>
  <si>
    <t>df_clean = df.dropna(subset=['School', 'Year'])</t>
  </si>
  <si>
    <t># Clean school names slightly (strip trailing spaces)</t>
  </si>
  <si>
    <t>df_clean['School'] = df_clean['School'].astype(str).str.strip()</t>
  </si>
  <si>
    <t># Find the first year for each school</t>
  </si>
  <si>
    <t>first_year = df_clean.groupby('School')['Year'].min().reset_index()</t>
  </si>
  <si>
    <t>first_year = first_year.sort_values(by=['Year', 'School']).reset_index(drop=True)</t>
  </si>
  <si>
    <t># Format Year as integer</t>
  </si>
  <si>
    <t>first_year['Year'] = first_year['Year'].astype(int)</t>
  </si>
  <si>
    <t>print(first_year)</t>
  </si>
  <si>
    <t>School  Year</t>
  </si>
  <si>
    <t>0                                                                                            Banjika  2007</t>
  </si>
  <si>
    <t>1                                                                                          Noonkodin  2010</t>
  </si>
  <si>
    <t>2                                                                            Olturoto Primary School  2010</t>
  </si>
  <si>
    <t>3                                         Banjika (students from Banjika and other district schools)  2011</t>
  </si>
  <si>
    <t>4                                                                                            Florian  2011</t>
  </si>
  <si>
    <t>5                                                                                             Welwel  2011</t>
  </si>
  <si>
    <t>6                                                                                              Baray  2012</t>
  </si>
  <si>
    <t>7                                                                                           Endallah  2012</t>
  </si>
  <si>
    <t>8                                                                                            Slahamo  2012</t>
  </si>
  <si>
    <t>9                                                                                        Lake Natron  2014</t>
  </si>
  <si>
    <t>10                                                                                       Nainokanoka  2014</t>
  </si>
  <si>
    <t>11                                                                                          Rigichia  2014</t>
  </si>
  <si>
    <t>12                                                                                         SoitSambu  2014</t>
  </si>
  <si>
    <t>13                                                                                            Kabasa  2015</t>
  </si>
  <si>
    <t>14                                                                                        Mekomariro  2015</t>
  </si>
  <si>
    <t>15                                                                                            Sazira  2015</t>
  </si>
  <si>
    <t>16                                                                                           Shimbwe  2015</t>
  </si>
  <si>
    <t>17                                                                                         Soitsambu  2016</t>
  </si>
  <si>
    <t>18                                                                             Zanzibar – 16 schools  2016</t>
  </si>
  <si>
    <t>19                                                                                 Zanzibar-Training  2016</t>
  </si>
  <si>
    <t>20  for all 12 Karatu, Bunda &amp; Ngorongoro schools. Held at Nainokanoka school in Ngorongoro District  2017</t>
  </si>
  <si>
    <t>21                                                                    San Francisco Rio Itaya (Peru)  2019</t>
  </si>
  <si>
    <t>22                                                                                            Mgutwa  2020</t>
  </si>
  <si>
    <t>23                                                                                        16 schools  2021</t>
  </si>
  <si>
    <t>24                                                                                           Rigicha  2021</t>
  </si>
  <si>
    <t>25                                                            Karatu District Project Year 1 schools  2022</t>
  </si>
  <si>
    <t>26                                                                                          Nanenane  2022</t>
  </si>
  <si>
    <t>27                                                                                           Chaenda  2023</t>
  </si>
  <si>
    <t>28                                                                                             Domel  2023</t>
  </si>
  <si>
    <t>29                                                                                          Endabash  2023</t>
  </si>
  <si>
    <t>30                                                                                    Mlimani Sumawe  2023</t>
  </si>
  <si>
    <t>31                                                                                    Mlimani Sumwae  2023</t>
  </si>
  <si>
    <t>32                                                                                           Oldeani  2023</t>
  </si>
  <si>
    <t>33                                                                                      Upper Kitete  2023</t>
  </si>
  <si>
    <t>34                                                                                             Diego  2025</t>
  </si>
  <si>
    <t>35                                                                                        Kilimamoja  2025</t>
  </si>
  <si>
    <t>36                                                                                       Kilimatembo  2025</t>
  </si>
  <si>
    <t>37                                                                                            Marang  2025</t>
  </si>
  <si>
    <t>Based on the implementation timeline data provided, here is the first year recorded for each school (listed chronologically):</t>
  </si>
  <si>
    <t>First Year Recorded</t>
  </si>
  <si>
    <t>Zanzibar (16 schools)</t>
  </si>
  <si>
    <t>Mlimani Sumawe (listed as Sumawe / Sumwae)</t>
  </si>
  <si>
    <t>(Note: Meta-entries like regional training workshops, district project groups, or duplicated name variations from the file have been filtered out for clarity.)</t>
  </si>
  <si>
    <t>Lab Implementations in Tanzania</t>
  </si>
  <si>
    <t>Total Computers</t>
  </si>
  <si>
    <t>Total Servers</t>
  </si>
  <si>
    <t>Region</t>
  </si>
  <si>
    <t>Phase 1
SPARC</t>
  </si>
  <si>
    <t>Phase 2
SPRAC+</t>
  </si>
  <si>
    <t>Pi Workshop
at Nainokanoka</t>
  </si>
  <si>
    <t>Shule Direct installation
(TZ syllabi)</t>
  </si>
  <si>
    <t>Arusha Region</t>
  </si>
  <si>
    <t>Karatu District</t>
  </si>
  <si>
    <t>Banjka</t>
  </si>
  <si>
    <t>Slahhamo</t>
  </si>
  <si>
    <t>Mlimane Sumawe</t>
  </si>
  <si>
    <t>Ngorongoro District</t>
  </si>
  <si>
    <t>Monduli District</t>
  </si>
  <si>
    <t>Olturotu District</t>
  </si>
  <si>
    <t>Olturotu</t>
  </si>
  <si>
    <t>2010 (training)</t>
  </si>
  <si>
    <t>Manyara Region</t>
  </si>
  <si>
    <t>Simanjiro District</t>
  </si>
  <si>
    <t>Mara Region</t>
  </si>
  <si>
    <t>Serengeti District</t>
  </si>
  <si>
    <t>Bunda District</t>
  </si>
  <si>
    <t>Kilimanjaro Region</t>
  </si>
  <si>
    <t>Moshi District</t>
  </si>
  <si>
    <t>2015 (training)</t>
  </si>
  <si>
    <t>Morogoro Region</t>
  </si>
  <si>
    <t>Zanzibar</t>
  </si>
  <si>
    <t>4 Regions</t>
  </si>
  <si>
    <t>7 Districts</t>
  </si>
  <si>
    <t>16 schools</t>
  </si>
  <si>
    <t>Maynas Province/Peru</t>
  </si>
  <si>
    <t>Belen District</t>
  </si>
  <si>
    <t>San Francisco Rio Itaya</t>
  </si>
  <si>
    <t>Total Schools</t>
  </si>
  <si>
    <t>including Peru</t>
  </si>
  <si>
    <t>Total Devices</t>
  </si>
  <si>
    <t>Total Districts</t>
  </si>
  <si>
    <t>Total Regions</t>
  </si>
  <si>
    <t>School (16)</t>
  </si>
  <si>
    <t>Region (4)</t>
  </si>
  <si>
    <t>District (7)</t>
  </si>
  <si>
    <t>Shungi</t>
  </si>
  <si>
    <t>South Pemba</t>
  </si>
  <si>
    <t>Chake-Chake</t>
  </si>
  <si>
    <t>Jongowe</t>
  </si>
  <si>
    <t>North Unguja</t>
  </si>
  <si>
    <t>Kaskazini/North A Unguja</t>
  </si>
  <si>
    <t>Kandwi</t>
  </si>
  <si>
    <t>Kidoti</t>
  </si>
  <si>
    <t>Kijini</t>
  </si>
  <si>
    <t>Mbuyutende</t>
  </si>
  <si>
    <t>Pwani Mchangani</t>
  </si>
  <si>
    <t>Tumbatu</t>
  </si>
  <si>
    <t>South Unguja</t>
  </si>
  <si>
    <t>Kati/Central Unguja</t>
  </si>
  <si>
    <t>Ukongoroni</t>
  </si>
  <si>
    <t>Uzi</t>
  </si>
  <si>
    <t>Michamvi</t>
  </si>
  <si>
    <t>Kusini/South Unguja</t>
  </si>
  <si>
    <t>Tumbe</t>
  </si>
  <si>
    <t>North Pemba</t>
  </si>
  <si>
    <t>Micheweni</t>
  </si>
  <si>
    <t>Kisiwa Panza</t>
  </si>
  <si>
    <t>Mkoani</t>
  </si>
  <si>
    <t>Makoongwe</t>
  </si>
  <si>
    <t>Fundo</t>
  </si>
  <si>
    <t>Wete</t>
  </si>
  <si>
    <t>PEF since it was established did 9 installations and 17 trainings as of Aug. 23, 2021</t>
  </si>
  <si>
    <t>39 training sessions as of 9-14-21</t>
  </si>
  <si>
    <t>Key</t>
  </si>
  <si>
    <t>This page provides a key to terms used in this spreadsheet.</t>
  </si>
  <si>
    <t>General Terms</t>
  </si>
  <si>
    <t>One or more days (usually a week) where PEF staff is onsite at a school to teach teachers and/or students about the solution.
* In early days in the projects there was a 2-3 week training just after installation. These days there is a 1-week training just after installation. The duration has been reduced because the general level of expertise among the teachers is greater now than it was many years ago.
* There is post-installation follow-up training typically 3-6 months after installation for 3-5 days. The timing varies based on the school’s needs.
* There may be additional training sessions if the school requests specific topics. E.g. Scratch programming, Google Code.</t>
  </si>
  <si>
    <t>This is the post-installation training when we were using Raspberry Pi computers.</t>
  </si>
  <si>
    <t>PEF Solution Terms</t>
  </si>
  <si>
    <r>
      <rPr/>
      <t xml:space="preserve">A "PEF solution" is a specific set of hardware &amp; software. For details on the below solutions please see:
</t>
    </r>
    <r>
      <rPr>
        <color rgb="FF1155CC"/>
        <u/>
      </rPr>
      <t>https://docs.google.com/document/d/1otPSzA9ONMru10zOmCn_o9pPFYH1WEwH/edit</t>
    </r>
  </si>
  <si>
    <t>1st generation PEF lab solution - 5 early hardware desktop computers, open-source sofware, RACHEL, basic solar</t>
  </si>
  <si>
    <t>Phase 2</t>
  </si>
  <si>
    <t>2nd generation PEF lab solution - 20 total early hardware desktop computers, open-source software, RACHEL, expanded solar</t>
  </si>
  <si>
    <t>Classroom solution to give teachers the ability to take RACHEL/other resources into the classroom - 1 Raspberry Pi computer with content, battery-powered projector, solar with recharging unit</t>
  </si>
  <si>
    <t>PEF lab solution similar to Phase 1 but with Raspberry Pi computers</t>
  </si>
  <si>
    <t>PEF lab solution similar to Phase 2 but with Raspberry Pi computers</t>
  </si>
  <si>
    <t>TBD</t>
  </si>
  <si>
    <t>PEF lab solution similar to SPARC+ but with Mini computers and Microsoft Windows/Office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</si>
</sst>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rgb="FF000000"/>
      <name val="Arial"/>
      <scheme val="minor"/>
    </font>
    <font>
      <b/>
      <sz val="14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color theme="1"/>
      <name val="Arial"/>
    </font>
    <font>
      <color rgb="FF000000"/>
      <name val="Arial"/>
    </font>
    <font>
      <sz val="12.0"/>
      <color rgb="FF000000"/>
      <name val="Arial"/>
    </font>
    <font>
      <color rgb="FF000000"/>
      <name val="Arial"/>
      <scheme val="minor"/>
    </font>
    <font>
      <color rgb="FFFFFFFF"/>
      <name val="&quot;Google Sans Text&quot;"/>
    </font>
    <font>
      <sz val="11.0"/>
      <color rgb="FF969DFF"/>
      <name val="&quot;Google Sans Text&quot;"/>
    </font>
    <font>
      <sz val="11.0"/>
      <color rgb="FF808080"/>
      <name val="&quot;Google Sans Text&quot;"/>
    </font>
    <font>
      <sz val="11.0"/>
      <color rgb="FF60D673"/>
      <name val="&quot;Google Sans Text&quot;"/>
    </font>
    <font>
      <sz val="11.0"/>
      <color rgb="FFFFFFFF"/>
      <name val="&quot;Google Sans Text&quot;"/>
    </font>
    <font>
      <sz val="11.0"/>
      <color rgb="FFFF96DA"/>
      <name val="&quot;Google Sans Text&quot;"/>
    </font>
    <font>
      <sz val="11.0"/>
      <color rgb="FFFF5A59"/>
      <name val="&quot;Google Sans Text&quot;"/>
    </font>
    <font>
      <sz val="11.0"/>
      <color rgb="FF1F1F1F"/>
      <name val="&quot;Google Sans Text&quot;"/>
    </font>
    <font>
      <b/>
      <sz val="11.0"/>
      <color rgb="FF1F1F1F"/>
      <name val="&quot;Google Sans Text&quot;"/>
    </font>
    <font>
      <i/>
      <sz val="11.0"/>
      <color rgb="FF1F1F1F"/>
      <name val="&quot;Google Sans Text&quot;"/>
    </font>
    <font>
      <b/>
      <color theme="1"/>
      <name val="Arial"/>
      <scheme val="minor"/>
    </font>
    <font>
      <i/>
      <sz val="11.0"/>
      <color rgb="FF000000"/>
      <name val="Arial"/>
    </font>
    <font>
      <b/>
      <i/>
      <sz val="11.0"/>
      <color rgb="FF000000"/>
      <name val="Arial"/>
    </font>
    <font>
      <color theme="1"/>
      <name val="Arial"/>
      <scheme val="minor"/>
    </font>
    <font>
      <i/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5.0"/>
      <color theme="1"/>
      <name val="Arial"/>
      <scheme val="minor"/>
    </font>
    <font>
      <u/>
      <color rgb="FF0000FF"/>
    </font>
    <font>
      <sz val="12.0"/>
      <color theme="1"/>
      <name val="&quot;Calibri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6">
    <border/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4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1" fillId="0" fontId="3" numFmtId="0" xfId="0" applyAlignment="1" applyBorder="1" applyFont="1">
      <alignment horizontal="left" shrinkToFit="0" vertical="top" wrapText="0"/>
    </xf>
    <xf borderId="1" fillId="0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2" fontId="2" numFmtId="0" xfId="0" applyAlignment="1" applyFill="1" applyFont="1">
      <alignment horizontal="left" vertical="top"/>
    </xf>
    <xf borderId="0" fillId="0" fontId="7" numFmtId="0" xfId="0" applyAlignment="1" applyFont="1">
      <alignment horizontal="left" vertical="top"/>
    </xf>
    <xf borderId="0" fillId="0" fontId="8" numFmtId="0" xfId="0" applyFont="1"/>
    <xf borderId="0" fillId="2" fontId="2" numFmtId="0" xfId="0" applyAlignment="1" applyFont="1">
      <alignment horizontal="left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quotePrefix="1"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19" numFmtId="0" xfId="0" applyFont="1"/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1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2" numFmtId="0" xfId="0" applyFont="1"/>
    <xf borderId="0" fillId="0" fontId="22" numFmtId="0" xfId="0" applyFont="1"/>
    <xf borderId="0" fillId="0" fontId="23" numFmtId="0" xfId="0" applyFont="1"/>
    <xf borderId="0" fillId="0" fontId="22" numFmtId="0" xfId="0" applyAlignment="1" applyFont="1">
      <alignment horizontal="right"/>
    </xf>
    <xf borderId="0" fillId="0" fontId="2" numFmtId="0" xfId="0" applyAlignment="1" applyFont="1">
      <alignment horizontal="right" shrinkToFit="0" vertical="bottom" wrapText="0"/>
    </xf>
    <xf borderId="2" fillId="0" fontId="3" numFmtId="0" xfId="0" applyAlignment="1" applyBorder="1" applyFont="1">
      <alignment shrinkToFit="0" vertical="bottom" wrapText="0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26" numFmtId="0" xfId="0" applyAlignment="1" applyFont="1">
      <alignment readingOrder="0"/>
    </xf>
    <xf borderId="0" fillId="0" fontId="22" numFmtId="0" xfId="0" applyAlignment="1" applyFont="1">
      <alignment readingOrder="0"/>
    </xf>
    <xf borderId="0" fillId="3" fontId="19" numFmtId="0" xfId="0" applyAlignment="1" applyFill="1" applyFont="1">
      <alignment readingOrder="0"/>
    </xf>
    <xf borderId="0" fillId="3" fontId="22" numFmtId="0" xfId="0" applyFont="1"/>
    <xf borderId="3" fillId="0" fontId="19" numFmtId="0" xfId="0" applyAlignment="1" applyBorder="1" applyFont="1">
      <alignment readingOrder="0" vertical="top"/>
    </xf>
    <xf borderId="4" fillId="0" fontId="22" numFmtId="0" xfId="0" applyAlignment="1" applyBorder="1" applyFont="1">
      <alignment readingOrder="0" shrinkToFit="0" wrapText="1"/>
    </xf>
    <xf borderId="1" fillId="0" fontId="22" numFmtId="0" xfId="0" applyAlignment="1" applyBorder="1" applyFont="1">
      <alignment readingOrder="0" shrinkToFit="0" wrapText="1"/>
    </xf>
    <xf borderId="5" fillId="0" fontId="22" numFmtId="0" xfId="0" applyAlignment="1" applyBorder="1" applyFont="1">
      <alignment readingOrder="0" shrinkToFit="0" wrapText="1"/>
    </xf>
    <xf borderId="3" fillId="0" fontId="19" numFmtId="0" xfId="0" applyAlignment="1" applyBorder="1" applyFont="1">
      <alignment readingOrder="0" shrinkToFit="0" wrapText="1"/>
    </xf>
    <xf borderId="1" fillId="0" fontId="22" numFmtId="0" xfId="0" applyAlignment="1" applyBorder="1" applyFont="1">
      <alignment readingOrder="0"/>
    </xf>
    <xf borderId="5" fillId="0" fontId="22" numFmtId="0" xfId="0" applyAlignment="1" applyBorder="1" applyFont="1">
      <alignment readingOrder="0"/>
    </xf>
    <xf borderId="0" fillId="0" fontId="22" numFmtId="0" xfId="0" applyAlignment="1" applyFont="1">
      <alignment shrinkToFit="0" wrapText="1"/>
    </xf>
    <xf borderId="0" fillId="3" fontId="27" numFmtId="0" xfId="0" applyAlignment="1" applyFont="1">
      <alignment readingOrder="0" shrinkToFit="0" wrapText="1"/>
    </xf>
    <xf borderId="3" fillId="0" fontId="19" numFmtId="0" xfId="0" applyAlignment="1" applyBorder="1" applyFont="1">
      <alignment readingOrder="0"/>
    </xf>
    <xf borderId="3" fillId="0" fontId="22" numFmtId="0" xfId="0" applyAlignment="1" applyBorder="1" applyFont="1">
      <alignment readingOrder="0" shrinkToFit="0" wrapText="1"/>
    </xf>
    <xf borderId="3" fillId="0" fontId="28" numFmtId="0" xfId="0" applyAlignment="1" applyBorder="1" applyFont="1">
      <alignment readingOrder="0" shrinkToFit="0" wrapText="1"/>
    </xf>
    <xf borderId="0" fillId="0" fontId="28" numFmtId="0" xfId="0" applyAlignment="1" applyFont="1">
      <alignment readingOrder="0" shrinkToFit="0" wrapText="1"/>
    </xf>
    <xf borderId="3" fillId="4" fontId="19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tPSzA9ONMru10zOmCn_o9pPFYH1WEwH/edit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5"/>
    <col customWidth="1" min="2" max="2" width="13.75"/>
    <col customWidth="1" min="3" max="3" width="31.75"/>
    <col customWidth="1" min="4" max="4" width="27.0"/>
    <col customWidth="1" min="5" max="5" width="23.25"/>
    <col customWidth="1" min="6" max="6" width="9.63"/>
    <col customWidth="1" min="7" max="7" width="29.13"/>
    <col customWidth="1" min="8" max="8" width="17.88"/>
    <col customWidth="1" min="9" max="24" width="11.75"/>
    <col customWidth="1" min="25" max="26" width="8.63"/>
  </cols>
  <sheetData>
    <row r="1" ht="30.0" customHeight="1">
      <c r="A1" s="1" t="s">
        <v>0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/>
      <c r="B2" s="3"/>
      <c r="C2" s="5"/>
      <c r="D2" s="6"/>
      <c r="E2" s="7"/>
      <c r="F2" s="7"/>
      <c r="G2" s="7"/>
      <c r="H2" s="8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2"/>
      <c r="W2" s="2"/>
      <c r="X2" s="2"/>
      <c r="Y2" s="2"/>
      <c r="Z2" s="2"/>
    </row>
    <row r="3" ht="15.0" customHeight="1">
      <c r="A3" s="9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7"/>
      <c r="H3" s="8"/>
      <c r="I3" s="8"/>
      <c r="J3" s="8"/>
      <c r="K3" s="8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2"/>
      <c r="Z3" s="2"/>
    </row>
    <row r="4" ht="9.0" customHeight="1">
      <c r="A4" s="12"/>
      <c r="B4" s="3"/>
      <c r="C4" s="5"/>
      <c r="D4" s="6"/>
      <c r="E4" s="7"/>
      <c r="F4" s="7"/>
      <c r="G4" s="7"/>
      <c r="H4" s="8"/>
      <c r="I4" s="8"/>
      <c r="J4" s="8"/>
      <c r="K4" s="8"/>
      <c r="L4" s="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"/>
      <c r="Z4" s="2"/>
    </row>
    <row r="5" ht="27.0" customHeight="1">
      <c r="A5" s="13">
        <v>2007.0</v>
      </c>
      <c r="B5" s="2" t="s">
        <v>7</v>
      </c>
      <c r="C5" s="5" t="s">
        <v>8</v>
      </c>
      <c r="D5" s="5" t="s">
        <v>9</v>
      </c>
      <c r="E5" s="2" t="s">
        <v>10</v>
      </c>
      <c r="F5" s="2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3">
        <v>2008.0</v>
      </c>
      <c r="B6" s="2" t="s">
        <v>12</v>
      </c>
      <c r="C6" s="5" t="s">
        <v>13</v>
      </c>
      <c r="D6" s="5" t="s">
        <v>9</v>
      </c>
      <c r="E6" s="2" t="s">
        <v>10</v>
      </c>
      <c r="F6" s="2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13">
        <v>2008.0</v>
      </c>
      <c r="B7" s="2" t="s">
        <v>14</v>
      </c>
      <c r="C7" s="5" t="s">
        <v>15</v>
      </c>
      <c r="D7" s="5" t="s">
        <v>9</v>
      </c>
      <c r="E7" s="2" t="s">
        <v>10</v>
      </c>
      <c r="F7" s="2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13">
        <v>2008.0</v>
      </c>
      <c r="B8" s="5" t="s">
        <v>14</v>
      </c>
      <c r="C8" s="5" t="s">
        <v>16</v>
      </c>
      <c r="D8" s="5" t="s">
        <v>9</v>
      </c>
      <c r="E8" s="2" t="s">
        <v>10</v>
      </c>
      <c r="F8" s="2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0" customHeight="1">
      <c r="A9" s="13">
        <v>2009.0</v>
      </c>
      <c r="B9" s="5" t="s">
        <v>17</v>
      </c>
      <c r="C9" s="5" t="s">
        <v>16</v>
      </c>
      <c r="D9" s="5" t="s">
        <v>9</v>
      </c>
      <c r="E9" s="2" t="s">
        <v>10</v>
      </c>
      <c r="F9" s="2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13">
        <v>2010.0</v>
      </c>
      <c r="B10" s="5" t="s">
        <v>18</v>
      </c>
      <c r="C10" s="5" t="s">
        <v>16</v>
      </c>
      <c r="D10" s="5" t="s">
        <v>9</v>
      </c>
      <c r="E10" s="2" t="s">
        <v>10</v>
      </c>
      <c r="F10" s="2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13">
        <v>2010.0</v>
      </c>
      <c r="B11" s="2" t="s">
        <v>19</v>
      </c>
      <c r="C11" s="5" t="s">
        <v>20</v>
      </c>
      <c r="D11" s="14" t="s">
        <v>21</v>
      </c>
      <c r="E11" s="2" t="s">
        <v>22</v>
      </c>
      <c r="F11" s="2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13">
        <v>2010.0</v>
      </c>
      <c r="B12" s="2" t="s">
        <v>19</v>
      </c>
      <c r="C12" s="5" t="s">
        <v>16</v>
      </c>
      <c r="D12" s="5" t="s">
        <v>21</v>
      </c>
      <c r="E12" s="2" t="s">
        <v>22</v>
      </c>
      <c r="F12" s="2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13">
        <v>2010.0</v>
      </c>
      <c r="B13" s="2" t="s">
        <v>23</v>
      </c>
      <c r="C13" s="5" t="s">
        <v>24</v>
      </c>
      <c r="D13" s="5" t="s">
        <v>9</v>
      </c>
      <c r="E13" s="2" t="s">
        <v>10</v>
      </c>
      <c r="F13" s="2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13">
        <v>2010.0</v>
      </c>
      <c r="B14" s="2" t="s">
        <v>25</v>
      </c>
      <c r="C14" s="5" t="s">
        <v>26</v>
      </c>
      <c r="D14" s="5" t="s">
        <v>27</v>
      </c>
      <c r="E14" s="15" t="s">
        <v>28</v>
      </c>
      <c r="F14" s="2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13">
        <v>2011.0</v>
      </c>
      <c r="B15" s="2" t="s">
        <v>29</v>
      </c>
      <c r="C15" s="5" t="s">
        <v>30</v>
      </c>
      <c r="D15" s="5" t="s">
        <v>9</v>
      </c>
      <c r="E15" s="2" t="s">
        <v>10</v>
      </c>
      <c r="F15" s="2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13">
        <v>2011.0</v>
      </c>
      <c r="B16" s="2" t="s">
        <v>31</v>
      </c>
      <c r="C16" s="5" t="s">
        <v>32</v>
      </c>
      <c r="D16" s="5" t="s">
        <v>33</v>
      </c>
      <c r="E16" s="2" t="s">
        <v>10</v>
      </c>
      <c r="F16" s="2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13">
        <v>2011.0</v>
      </c>
      <c r="B17" s="2" t="s">
        <v>25</v>
      </c>
      <c r="C17" s="5" t="s">
        <v>34</v>
      </c>
      <c r="D17" s="5" t="s">
        <v>35</v>
      </c>
      <c r="E17" s="2" t="s">
        <v>10</v>
      </c>
      <c r="F17" s="2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13">
        <v>2011.0</v>
      </c>
      <c r="B18" s="2" t="s">
        <v>25</v>
      </c>
      <c r="C18" s="5" t="s">
        <v>16</v>
      </c>
      <c r="D18" s="5" t="s">
        <v>35</v>
      </c>
      <c r="E18" s="2" t="s">
        <v>10</v>
      </c>
      <c r="F18" s="2" t="s">
        <v>11</v>
      </c>
      <c r="G18" s="2"/>
      <c r="H18" s="2"/>
      <c r="I18" s="16"/>
      <c r="J18" s="16"/>
      <c r="K18" s="16"/>
      <c r="L18" s="16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13">
        <v>2011.0</v>
      </c>
      <c r="B19" s="2" t="s">
        <v>25</v>
      </c>
      <c r="C19" s="5" t="s">
        <v>34</v>
      </c>
      <c r="D19" s="5" t="s">
        <v>36</v>
      </c>
      <c r="E19" s="2" t="s">
        <v>10</v>
      </c>
      <c r="F19" s="2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13">
        <v>2011.0</v>
      </c>
      <c r="B20" s="2" t="s">
        <v>25</v>
      </c>
      <c r="C20" s="5" t="s">
        <v>16</v>
      </c>
      <c r="D20" s="5" t="s">
        <v>36</v>
      </c>
      <c r="E20" s="2" t="s">
        <v>10</v>
      </c>
      <c r="F20" s="2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13">
        <v>2012.0</v>
      </c>
      <c r="B21" s="2" t="s">
        <v>25</v>
      </c>
      <c r="C21" s="5" t="s">
        <v>34</v>
      </c>
      <c r="D21" s="5" t="s">
        <v>37</v>
      </c>
      <c r="E21" s="2" t="s">
        <v>10</v>
      </c>
      <c r="F21" s="2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13">
        <v>2012.0</v>
      </c>
      <c r="B22" s="13" t="s">
        <v>25</v>
      </c>
      <c r="C22" s="5" t="s">
        <v>16</v>
      </c>
      <c r="D22" s="5" t="s">
        <v>37</v>
      </c>
      <c r="E22" s="2" t="s">
        <v>10</v>
      </c>
      <c r="F22" s="2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13">
        <v>2012.0</v>
      </c>
      <c r="B23" s="2" t="s">
        <v>25</v>
      </c>
      <c r="C23" s="5" t="s">
        <v>34</v>
      </c>
      <c r="D23" s="5" t="s">
        <v>38</v>
      </c>
      <c r="E23" s="2" t="s">
        <v>10</v>
      </c>
      <c r="F23" s="2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13">
        <v>2012.0</v>
      </c>
      <c r="B24" s="13" t="s">
        <v>25</v>
      </c>
      <c r="C24" s="5" t="s">
        <v>16</v>
      </c>
      <c r="D24" s="5" t="s">
        <v>38</v>
      </c>
      <c r="E24" s="2" t="s">
        <v>10</v>
      </c>
      <c r="F24" s="2" t="s">
        <v>11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13">
        <v>2012.0</v>
      </c>
      <c r="B25" s="2" t="s">
        <v>25</v>
      </c>
      <c r="C25" s="5" t="s">
        <v>34</v>
      </c>
      <c r="D25" s="5" t="s">
        <v>39</v>
      </c>
      <c r="E25" s="2" t="s">
        <v>10</v>
      </c>
      <c r="F25" s="2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13">
        <v>2012.0</v>
      </c>
      <c r="B26" s="13" t="s">
        <v>25</v>
      </c>
      <c r="C26" s="5" t="s">
        <v>16</v>
      </c>
      <c r="D26" s="5" t="s">
        <v>39</v>
      </c>
      <c r="E26" s="2" t="s">
        <v>10</v>
      </c>
      <c r="F26" s="2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13">
        <v>2013.0</v>
      </c>
      <c r="B27" s="13" t="s">
        <v>29</v>
      </c>
      <c r="C27" s="5" t="s">
        <v>30</v>
      </c>
      <c r="D27" s="5" t="s">
        <v>35</v>
      </c>
      <c r="E27" s="2" t="s">
        <v>10</v>
      </c>
      <c r="F27" s="2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13">
        <v>2013.0</v>
      </c>
      <c r="B28" s="2" t="s">
        <v>29</v>
      </c>
      <c r="C28" s="5" t="s">
        <v>16</v>
      </c>
      <c r="D28" s="5" t="s">
        <v>35</v>
      </c>
      <c r="E28" s="2" t="s">
        <v>10</v>
      </c>
      <c r="F28" s="2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13">
        <v>2013.0</v>
      </c>
      <c r="B29" s="13" t="s">
        <v>29</v>
      </c>
      <c r="C29" s="5" t="s">
        <v>30</v>
      </c>
      <c r="D29" s="5" t="s">
        <v>36</v>
      </c>
      <c r="E29" s="2" t="s">
        <v>10</v>
      </c>
      <c r="F29" s="2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13">
        <v>2013.0</v>
      </c>
      <c r="B30" s="2" t="s">
        <v>29</v>
      </c>
      <c r="C30" s="5" t="s">
        <v>16</v>
      </c>
      <c r="D30" s="5" t="s">
        <v>36</v>
      </c>
      <c r="E30" s="2" t="s">
        <v>10</v>
      </c>
      <c r="F30" s="2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13">
        <v>2014.0</v>
      </c>
      <c r="B31" s="2" t="s">
        <v>40</v>
      </c>
      <c r="C31" s="5" t="s">
        <v>41</v>
      </c>
      <c r="D31" s="5" t="s">
        <v>42</v>
      </c>
      <c r="E31" s="2" t="s">
        <v>43</v>
      </c>
      <c r="F31" s="2" t="s">
        <v>11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13">
        <v>2014.0</v>
      </c>
      <c r="B32" s="2" t="s">
        <v>40</v>
      </c>
      <c r="C32" s="5" t="s">
        <v>16</v>
      </c>
      <c r="D32" s="5" t="s">
        <v>42</v>
      </c>
      <c r="E32" s="2" t="s">
        <v>43</v>
      </c>
      <c r="F32" s="2" t="s">
        <v>11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13">
        <v>2014.0</v>
      </c>
      <c r="B33" s="2" t="s">
        <v>40</v>
      </c>
      <c r="C33" s="5" t="s">
        <v>41</v>
      </c>
      <c r="D33" s="5" t="s">
        <v>44</v>
      </c>
      <c r="E33" s="2" t="s">
        <v>43</v>
      </c>
      <c r="F33" s="2" t="s">
        <v>11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13">
        <v>2014.0</v>
      </c>
      <c r="B34" s="2" t="s">
        <v>40</v>
      </c>
      <c r="C34" s="5" t="s">
        <v>16</v>
      </c>
      <c r="D34" s="5" t="s">
        <v>44</v>
      </c>
      <c r="E34" s="2" t="s">
        <v>43</v>
      </c>
      <c r="F34" s="2" t="s">
        <v>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13">
        <v>2014.0</v>
      </c>
      <c r="B35" s="2" t="s">
        <v>40</v>
      </c>
      <c r="C35" s="5" t="s">
        <v>41</v>
      </c>
      <c r="D35" s="5" t="s">
        <v>45</v>
      </c>
      <c r="E35" s="2" t="s">
        <v>43</v>
      </c>
      <c r="F35" s="2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13">
        <v>2014.0</v>
      </c>
      <c r="B36" s="2" t="s">
        <v>40</v>
      </c>
      <c r="C36" s="5" t="s">
        <v>16</v>
      </c>
      <c r="D36" s="5" t="s">
        <v>45</v>
      </c>
      <c r="E36" s="2" t="s">
        <v>43</v>
      </c>
      <c r="F36" s="2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13">
        <v>2014.0</v>
      </c>
      <c r="B37" s="2" t="s">
        <v>29</v>
      </c>
      <c r="C37" s="5" t="s">
        <v>46</v>
      </c>
      <c r="D37" s="5" t="s">
        <v>47</v>
      </c>
      <c r="E37" s="2" t="s">
        <v>48</v>
      </c>
      <c r="F37" s="2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>
        <v>2014.0</v>
      </c>
      <c r="B38" s="2" t="s">
        <v>29</v>
      </c>
      <c r="C38" s="5" t="s">
        <v>16</v>
      </c>
      <c r="D38" s="5" t="s">
        <v>47</v>
      </c>
      <c r="E38" s="2" t="s">
        <v>48</v>
      </c>
      <c r="F38" s="2" t="s">
        <v>11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>
        <v>2015.0</v>
      </c>
      <c r="B39" s="2" t="s">
        <v>49</v>
      </c>
      <c r="C39" s="5" t="s">
        <v>50</v>
      </c>
      <c r="D39" s="5" t="s">
        <v>51</v>
      </c>
      <c r="E39" s="2" t="s">
        <v>52</v>
      </c>
      <c r="F39" s="2" t="s">
        <v>11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13">
        <v>2015.0</v>
      </c>
      <c r="B40" s="2" t="s">
        <v>49</v>
      </c>
      <c r="C40" s="5" t="s">
        <v>16</v>
      </c>
      <c r="D40" s="5" t="s">
        <v>51</v>
      </c>
      <c r="E40" s="2" t="s">
        <v>52</v>
      </c>
      <c r="F40" s="2" t="s">
        <v>11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13">
        <v>2015.0</v>
      </c>
      <c r="B41" s="2" t="s">
        <v>53</v>
      </c>
      <c r="C41" s="5" t="s">
        <v>54</v>
      </c>
      <c r="D41" s="5" t="s">
        <v>55</v>
      </c>
      <c r="E41" s="2" t="s">
        <v>56</v>
      </c>
      <c r="F41" s="2" t="s">
        <v>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13">
        <v>2015.0</v>
      </c>
      <c r="B42" s="2" t="s">
        <v>53</v>
      </c>
      <c r="C42" s="5" t="s">
        <v>16</v>
      </c>
      <c r="D42" s="5" t="s">
        <v>55</v>
      </c>
      <c r="E42" s="2" t="s">
        <v>56</v>
      </c>
      <c r="F42" s="2" t="s">
        <v>11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13">
        <v>2015.0</v>
      </c>
      <c r="B43" s="2" t="s">
        <v>53</v>
      </c>
      <c r="C43" s="5" t="s">
        <v>54</v>
      </c>
      <c r="D43" s="5" t="s">
        <v>57</v>
      </c>
      <c r="E43" s="2" t="s">
        <v>56</v>
      </c>
      <c r="F43" s="2" t="s">
        <v>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13">
        <v>2015.0</v>
      </c>
      <c r="B44" s="2" t="s">
        <v>53</v>
      </c>
      <c r="C44" s="5" t="s">
        <v>16</v>
      </c>
      <c r="D44" s="5" t="s">
        <v>57</v>
      </c>
      <c r="E44" s="2" t="s">
        <v>56</v>
      </c>
      <c r="F44" s="2" t="s">
        <v>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13">
        <v>2015.0</v>
      </c>
      <c r="B45" s="2" t="s">
        <v>53</v>
      </c>
      <c r="C45" s="5" t="s">
        <v>54</v>
      </c>
      <c r="D45" s="5" t="s">
        <v>58</v>
      </c>
      <c r="E45" s="2" t="s">
        <v>56</v>
      </c>
      <c r="F45" s="2" t="s">
        <v>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13">
        <v>2015.0</v>
      </c>
      <c r="B46" s="2" t="s">
        <v>53</v>
      </c>
      <c r="C46" s="5" t="s">
        <v>16</v>
      </c>
      <c r="D46" s="5" t="s">
        <v>58</v>
      </c>
      <c r="E46" s="2" t="s">
        <v>56</v>
      </c>
      <c r="F46" s="2" t="s">
        <v>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13">
        <v>2016.0</v>
      </c>
      <c r="B47" s="2" t="s">
        <v>7</v>
      </c>
      <c r="C47" s="5" t="s">
        <v>59</v>
      </c>
      <c r="D47" s="5" t="s">
        <v>39</v>
      </c>
      <c r="E47" s="2" t="s">
        <v>10</v>
      </c>
      <c r="F47" s="2" t="s">
        <v>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13">
        <v>2016.0</v>
      </c>
      <c r="B48" s="2" t="s">
        <v>29</v>
      </c>
      <c r="C48" s="5" t="s">
        <v>46</v>
      </c>
      <c r="D48" s="5" t="s">
        <v>60</v>
      </c>
      <c r="E48" s="2" t="s">
        <v>61</v>
      </c>
      <c r="F48" s="2" t="s">
        <v>11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13">
        <v>2016.0</v>
      </c>
      <c r="B49" s="2" t="s">
        <v>29</v>
      </c>
      <c r="C49" s="5" t="s">
        <v>62</v>
      </c>
      <c r="D49" s="5" t="s">
        <v>63</v>
      </c>
      <c r="E49" s="2" t="s">
        <v>61</v>
      </c>
      <c r="F49" s="2" t="s">
        <v>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13">
        <v>2016.0</v>
      </c>
      <c r="B50" s="2" t="s">
        <v>19</v>
      </c>
      <c r="C50" s="5" t="s">
        <v>64</v>
      </c>
      <c r="D50" s="5" t="s">
        <v>65</v>
      </c>
      <c r="E50" s="2" t="s">
        <v>43</v>
      </c>
      <c r="F50" s="2" t="s">
        <v>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13">
        <v>2016.0</v>
      </c>
      <c r="B51" s="2" t="s">
        <v>19</v>
      </c>
      <c r="C51" s="5" t="s">
        <v>64</v>
      </c>
      <c r="D51" s="5" t="s">
        <v>45</v>
      </c>
      <c r="E51" s="2" t="s">
        <v>43</v>
      </c>
      <c r="F51" s="2" t="s">
        <v>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13">
        <v>2016.0</v>
      </c>
      <c r="B52" s="2" t="s">
        <v>25</v>
      </c>
      <c r="C52" s="5" t="s">
        <v>46</v>
      </c>
      <c r="D52" s="5" t="s">
        <v>35</v>
      </c>
      <c r="E52" s="2" t="s">
        <v>10</v>
      </c>
      <c r="F52" s="2" t="s">
        <v>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13">
        <v>2016.0</v>
      </c>
      <c r="B53" s="2" t="s">
        <v>25</v>
      </c>
      <c r="C53" s="5" t="s">
        <v>16</v>
      </c>
      <c r="D53" s="5" t="s">
        <v>35</v>
      </c>
      <c r="E53" s="2" t="s">
        <v>10</v>
      </c>
      <c r="F53" s="2" t="s">
        <v>11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13">
        <v>2017.0</v>
      </c>
      <c r="B54" s="2" t="s">
        <v>66</v>
      </c>
      <c r="C54" s="5" t="s">
        <v>67</v>
      </c>
      <c r="D54" s="5" t="s">
        <v>42</v>
      </c>
      <c r="E54" s="2" t="s">
        <v>43</v>
      </c>
      <c r="F54" s="2" t="s">
        <v>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3">
        <v>2017.0</v>
      </c>
      <c r="B55" s="2" t="s">
        <v>68</v>
      </c>
      <c r="C55" s="5" t="s">
        <v>16</v>
      </c>
      <c r="D55" s="5" t="s">
        <v>42</v>
      </c>
      <c r="E55" s="2" t="s">
        <v>43</v>
      </c>
      <c r="F55" s="2" t="s">
        <v>11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3">
        <v>2017.0</v>
      </c>
      <c r="B56" s="2" t="s">
        <v>69</v>
      </c>
      <c r="C56" s="5" t="s">
        <v>70</v>
      </c>
      <c r="D56" s="5" t="s">
        <v>71</v>
      </c>
      <c r="E56" s="2" t="s">
        <v>43</v>
      </c>
      <c r="F56" s="2" t="s">
        <v>11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3">
        <v>2018.0</v>
      </c>
      <c r="B57" s="2" t="s">
        <v>19</v>
      </c>
      <c r="C57" s="5" t="s">
        <v>72</v>
      </c>
      <c r="D57" s="5" t="s">
        <v>35</v>
      </c>
      <c r="E57" s="2" t="s">
        <v>10</v>
      </c>
      <c r="F57" s="2" t="s">
        <v>11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3">
        <v>2018.0</v>
      </c>
      <c r="B58" s="2" t="s">
        <v>25</v>
      </c>
      <c r="C58" s="5" t="s">
        <v>70</v>
      </c>
      <c r="D58" s="5" t="s">
        <v>39</v>
      </c>
      <c r="E58" s="2" t="s">
        <v>10</v>
      </c>
      <c r="F58" s="2" t="s">
        <v>11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3">
        <v>2019.0</v>
      </c>
      <c r="B59" s="2" t="s">
        <v>66</v>
      </c>
      <c r="C59" s="5" t="s">
        <v>73</v>
      </c>
      <c r="D59" s="5" t="s">
        <v>38</v>
      </c>
      <c r="E59" s="2" t="s">
        <v>10</v>
      </c>
      <c r="F59" s="2" t="s">
        <v>11</v>
      </c>
      <c r="G59" s="2"/>
      <c r="H59" s="1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3">
        <v>2019.0</v>
      </c>
      <c r="B60" s="2" t="s">
        <v>66</v>
      </c>
      <c r="C60" s="5" t="s">
        <v>16</v>
      </c>
      <c r="D60" s="5" t="s">
        <v>38</v>
      </c>
      <c r="E60" s="2" t="s">
        <v>10</v>
      </c>
      <c r="F60" s="2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3">
        <v>2019.0</v>
      </c>
      <c r="B61" s="2" t="s">
        <v>14</v>
      </c>
      <c r="C61" s="5" t="s">
        <v>74</v>
      </c>
      <c r="D61" s="5" t="s">
        <v>35</v>
      </c>
      <c r="E61" s="2" t="s">
        <v>10</v>
      </c>
      <c r="F61" s="2" t="s">
        <v>11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3">
        <v>2019.0</v>
      </c>
      <c r="B62" s="2" t="s">
        <v>14</v>
      </c>
      <c r="C62" s="5" t="s">
        <v>75</v>
      </c>
      <c r="D62" s="5" t="s">
        <v>35</v>
      </c>
      <c r="E62" s="2" t="s">
        <v>10</v>
      </c>
      <c r="F62" s="2" t="s">
        <v>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3">
        <v>2019.0</v>
      </c>
      <c r="B63" s="2" t="s">
        <v>7</v>
      </c>
      <c r="C63" s="5" t="s">
        <v>70</v>
      </c>
      <c r="D63" s="5" t="s">
        <v>38</v>
      </c>
      <c r="E63" s="2" t="s">
        <v>10</v>
      </c>
      <c r="F63" s="2" t="s">
        <v>11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3">
        <v>2019.0</v>
      </c>
      <c r="B64" s="2" t="s">
        <v>7</v>
      </c>
      <c r="C64" s="5" t="s">
        <v>70</v>
      </c>
      <c r="D64" s="5" t="s">
        <v>36</v>
      </c>
      <c r="E64" s="2" t="s">
        <v>10</v>
      </c>
      <c r="F64" s="2" t="s">
        <v>11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3">
        <v>2019.0</v>
      </c>
      <c r="B65" s="2" t="s">
        <v>7</v>
      </c>
      <c r="C65" s="5" t="s">
        <v>70</v>
      </c>
      <c r="D65" s="5" t="s">
        <v>35</v>
      </c>
      <c r="E65" s="2" t="s">
        <v>10</v>
      </c>
      <c r="F65" s="2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3">
        <v>2019.0</v>
      </c>
      <c r="B66" s="2" t="s">
        <v>76</v>
      </c>
      <c r="C66" s="5" t="s">
        <v>70</v>
      </c>
      <c r="D66" s="5" t="s">
        <v>77</v>
      </c>
      <c r="E66" s="2" t="s">
        <v>56</v>
      </c>
      <c r="F66" s="2" t="s">
        <v>11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3">
        <v>2019.0</v>
      </c>
      <c r="B67" s="2" t="s">
        <v>76</v>
      </c>
      <c r="C67" s="5" t="s">
        <v>70</v>
      </c>
      <c r="D67" s="17" t="s">
        <v>55</v>
      </c>
      <c r="E67" s="2" t="s">
        <v>56</v>
      </c>
      <c r="F67" s="2" t="s">
        <v>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3">
        <v>2019.0</v>
      </c>
      <c r="B68" s="2" t="s">
        <v>76</v>
      </c>
      <c r="C68" s="5" t="s">
        <v>70</v>
      </c>
      <c r="D68" s="17" t="s">
        <v>57</v>
      </c>
      <c r="E68" s="2" t="s">
        <v>56</v>
      </c>
      <c r="F68" s="2" t="s">
        <v>11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3">
        <v>2019.0</v>
      </c>
      <c r="B69" s="2" t="s">
        <v>78</v>
      </c>
      <c r="C69" s="5" t="s">
        <v>79</v>
      </c>
      <c r="D69" s="5" t="s">
        <v>80</v>
      </c>
      <c r="E69" s="2" t="s">
        <v>81</v>
      </c>
      <c r="F69" s="2" t="s">
        <v>82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3">
        <v>2019.0</v>
      </c>
      <c r="B70" s="2" t="s">
        <v>25</v>
      </c>
      <c r="C70" s="5" t="s">
        <v>83</v>
      </c>
      <c r="D70" s="5" t="s">
        <v>80</v>
      </c>
      <c r="E70" s="2" t="s">
        <v>81</v>
      </c>
      <c r="F70" s="2" t="s">
        <v>82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3">
        <v>2019.0</v>
      </c>
      <c r="B71" s="2" t="s">
        <v>25</v>
      </c>
      <c r="C71" s="5" t="s">
        <v>16</v>
      </c>
      <c r="D71" s="5" t="s">
        <v>80</v>
      </c>
      <c r="E71" s="2" t="s">
        <v>81</v>
      </c>
      <c r="F71" s="2" t="s">
        <v>82</v>
      </c>
      <c r="G71" s="2"/>
      <c r="H71" s="1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3">
        <v>2019.0</v>
      </c>
      <c r="B72" s="2" t="s">
        <v>25</v>
      </c>
      <c r="C72" s="5" t="s">
        <v>83</v>
      </c>
      <c r="D72" s="5" t="s">
        <v>58</v>
      </c>
      <c r="E72" s="2" t="s">
        <v>56</v>
      </c>
      <c r="F72" s="2" t="s">
        <v>11</v>
      </c>
      <c r="G72" s="2"/>
      <c r="H72" s="1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3">
        <v>2019.0</v>
      </c>
      <c r="B73" s="2" t="s">
        <v>25</v>
      </c>
      <c r="C73" s="5" t="s">
        <v>84</v>
      </c>
      <c r="D73" s="5" t="s">
        <v>58</v>
      </c>
      <c r="E73" s="2" t="s">
        <v>56</v>
      </c>
      <c r="F73" s="2" t="s">
        <v>11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3">
        <v>2019.0</v>
      </c>
      <c r="B74" s="2" t="s">
        <v>25</v>
      </c>
      <c r="C74" s="5" t="s">
        <v>16</v>
      </c>
      <c r="D74" s="5" t="s">
        <v>58</v>
      </c>
      <c r="E74" s="2" t="s">
        <v>56</v>
      </c>
      <c r="F74" s="2" t="s">
        <v>11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3">
        <v>2020.0</v>
      </c>
      <c r="B75" s="2" t="s">
        <v>14</v>
      </c>
      <c r="C75" s="5" t="s">
        <v>46</v>
      </c>
      <c r="D75" s="5" t="s">
        <v>85</v>
      </c>
      <c r="E75" s="17" t="s">
        <v>86</v>
      </c>
      <c r="F75" s="2" t="s">
        <v>11</v>
      </c>
      <c r="G75" s="2"/>
      <c r="H75" s="1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3">
        <v>2020.0</v>
      </c>
      <c r="B76" s="2" t="s">
        <v>14</v>
      </c>
      <c r="C76" s="5" t="s">
        <v>16</v>
      </c>
      <c r="D76" s="5" t="s">
        <v>85</v>
      </c>
      <c r="E76" s="17" t="s">
        <v>86</v>
      </c>
      <c r="F76" s="2" t="s">
        <v>11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3">
        <v>2020.0</v>
      </c>
      <c r="B77" s="2" t="s">
        <v>14</v>
      </c>
      <c r="C77" s="5" t="s">
        <v>16</v>
      </c>
      <c r="D77" s="5" t="s">
        <v>80</v>
      </c>
      <c r="E77" s="2" t="s">
        <v>81</v>
      </c>
      <c r="F77" s="2" t="s">
        <v>82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3">
        <v>2020.0</v>
      </c>
      <c r="B78" s="2" t="s">
        <v>25</v>
      </c>
      <c r="C78" s="5" t="s">
        <v>83</v>
      </c>
      <c r="D78" s="5" t="s">
        <v>55</v>
      </c>
      <c r="E78" s="2" t="s">
        <v>56</v>
      </c>
      <c r="F78" s="2" t="s">
        <v>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3">
        <v>2020.0</v>
      </c>
      <c r="B79" s="2" t="s">
        <v>25</v>
      </c>
      <c r="C79" s="5" t="s">
        <v>83</v>
      </c>
      <c r="D79" s="17" t="s">
        <v>57</v>
      </c>
      <c r="E79" s="2" t="s">
        <v>56</v>
      </c>
      <c r="F79" s="2" t="s">
        <v>11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3">
        <v>2020.0</v>
      </c>
      <c r="B80" s="2" t="s">
        <v>25</v>
      </c>
      <c r="C80" s="5" t="s">
        <v>84</v>
      </c>
      <c r="D80" s="5" t="s">
        <v>55</v>
      </c>
      <c r="E80" s="2" t="s">
        <v>56</v>
      </c>
      <c r="F80" s="2" t="s">
        <v>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3">
        <v>2020.0</v>
      </c>
      <c r="B81" s="2" t="s">
        <v>25</v>
      </c>
      <c r="C81" s="5" t="s">
        <v>84</v>
      </c>
      <c r="D81" s="5" t="s">
        <v>57</v>
      </c>
      <c r="E81" s="2" t="s">
        <v>56</v>
      </c>
      <c r="F81" s="2" t="s">
        <v>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3">
        <v>2020.0</v>
      </c>
      <c r="B82" s="2" t="s">
        <v>12</v>
      </c>
      <c r="C82" s="5" t="s">
        <v>16</v>
      </c>
      <c r="D82" s="5" t="s">
        <v>55</v>
      </c>
      <c r="E82" s="2" t="s">
        <v>56</v>
      </c>
      <c r="F82" s="2" t="s">
        <v>11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3">
        <v>2020.0</v>
      </c>
      <c r="B83" s="2" t="s">
        <v>12</v>
      </c>
      <c r="C83" s="5" t="s">
        <v>16</v>
      </c>
      <c r="D83" s="5" t="s">
        <v>57</v>
      </c>
      <c r="E83" s="2" t="s">
        <v>56</v>
      </c>
      <c r="F83" s="2" t="s">
        <v>11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3">
        <v>2021.0</v>
      </c>
      <c r="B84" s="2" t="s">
        <v>29</v>
      </c>
      <c r="C84" s="5" t="s">
        <v>87</v>
      </c>
      <c r="D84" s="5" t="s">
        <v>88</v>
      </c>
      <c r="E84" s="2" t="s">
        <v>48</v>
      </c>
      <c r="F84" s="2" t="s">
        <v>11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3">
        <v>2021.0</v>
      </c>
      <c r="B85" s="2" t="s">
        <v>29</v>
      </c>
      <c r="C85" s="5" t="s">
        <v>84</v>
      </c>
      <c r="D85" s="5" t="s">
        <v>88</v>
      </c>
      <c r="E85" s="2" t="s">
        <v>48</v>
      </c>
      <c r="F85" s="2" t="s">
        <v>11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3">
        <v>2021.0</v>
      </c>
      <c r="B86" s="2" t="s">
        <v>29</v>
      </c>
      <c r="C86" s="5" t="s">
        <v>16</v>
      </c>
      <c r="D86" s="5" t="s">
        <v>88</v>
      </c>
      <c r="E86" s="2" t="s">
        <v>48</v>
      </c>
      <c r="F86" s="2" t="s">
        <v>11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3">
        <v>2021.0</v>
      </c>
      <c r="B87" s="2" t="s">
        <v>25</v>
      </c>
      <c r="C87" s="5" t="s">
        <v>89</v>
      </c>
      <c r="D87" s="5" t="s">
        <v>90</v>
      </c>
      <c r="E87" s="2" t="s">
        <v>91</v>
      </c>
      <c r="F87" s="2" t="s">
        <v>11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3">
        <v>2022.0</v>
      </c>
      <c r="B88" s="2" t="s">
        <v>66</v>
      </c>
      <c r="C88" s="5" t="s">
        <v>83</v>
      </c>
      <c r="D88" s="5" t="s">
        <v>44</v>
      </c>
      <c r="E88" s="2" t="s">
        <v>43</v>
      </c>
      <c r="F88" s="2" t="s">
        <v>11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3">
        <v>2022.0</v>
      </c>
      <c r="B89" s="2" t="s">
        <v>66</v>
      </c>
      <c r="C89" s="5" t="s">
        <v>84</v>
      </c>
      <c r="D89" s="5" t="s">
        <v>44</v>
      </c>
      <c r="E89" s="2" t="s">
        <v>43</v>
      </c>
      <c r="F89" s="2" t="s">
        <v>11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3">
        <v>2022.0</v>
      </c>
      <c r="B90" s="2" t="s">
        <v>66</v>
      </c>
      <c r="C90" s="5" t="s">
        <v>16</v>
      </c>
      <c r="D90" s="5" t="s">
        <v>44</v>
      </c>
      <c r="E90" s="2" t="s">
        <v>43</v>
      </c>
      <c r="F90" s="2" t="s">
        <v>11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3">
        <v>2022.0</v>
      </c>
      <c r="B91" s="2" t="s">
        <v>78</v>
      </c>
      <c r="C91" s="5" t="s">
        <v>87</v>
      </c>
      <c r="D91" s="5" t="s">
        <v>92</v>
      </c>
      <c r="E91" s="2" t="s">
        <v>93</v>
      </c>
      <c r="F91" s="2" t="s">
        <v>11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3">
        <v>2022.0</v>
      </c>
      <c r="B92" s="2" t="s">
        <v>78</v>
      </c>
      <c r="C92" s="5" t="s">
        <v>84</v>
      </c>
      <c r="D92" s="5" t="s">
        <v>92</v>
      </c>
      <c r="E92" s="2" t="s">
        <v>93</v>
      </c>
      <c r="F92" s="2" t="s">
        <v>11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3">
        <v>2022.0</v>
      </c>
      <c r="B93" s="2" t="s">
        <v>78</v>
      </c>
      <c r="C93" s="5" t="s">
        <v>16</v>
      </c>
      <c r="D93" s="5" t="s">
        <v>92</v>
      </c>
      <c r="E93" s="2" t="s">
        <v>93</v>
      </c>
      <c r="F93" s="2" t="s">
        <v>11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3">
        <v>2022.0</v>
      </c>
      <c r="B94" s="2" t="s">
        <v>23</v>
      </c>
      <c r="C94" s="5" t="s">
        <v>16</v>
      </c>
      <c r="D94" s="5" t="s">
        <v>80</v>
      </c>
      <c r="E94" s="2" t="s">
        <v>81</v>
      </c>
      <c r="F94" s="2" t="s">
        <v>82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3">
        <v>2022.0</v>
      </c>
      <c r="B95" s="2" t="s">
        <v>12</v>
      </c>
      <c r="C95" s="5" t="s">
        <v>16</v>
      </c>
      <c r="D95" s="5" t="s">
        <v>80</v>
      </c>
      <c r="E95" s="2" t="s">
        <v>81</v>
      </c>
      <c r="F95" s="2" t="s">
        <v>82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3">
        <v>2022.0</v>
      </c>
      <c r="B96" s="2" t="s">
        <v>69</v>
      </c>
      <c r="C96" s="5" t="s">
        <v>16</v>
      </c>
      <c r="D96" s="5" t="s">
        <v>94</v>
      </c>
      <c r="E96" s="2" t="s">
        <v>10</v>
      </c>
      <c r="F96" s="2" t="s">
        <v>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3">
        <v>2023.0</v>
      </c>
      <c r="B97" s="2" t="s">
        <v>66</v>
      </c>
      <c r="C97" s="5" t="s">
        <v>83</v>
      </c>
      <c r="D97" s="18" t="s">
        <v>95</v>
      </c>
      <c r="E97" s="2" t="s">
        <v>10</v>
      </c>
      <c r="F97" s="2" t="s">
        <v>11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3">
        <v>2023.0</v>
      </c>
      <c r="B98" s="2" t="s">
        <v>66</v>
      </c>
      <c r="C98" s="5" t="s">
        <v>83</v>
      </c>
      <c r="D98" s="5" t="s">
        <v>96</v>
      </c>
      <c r="E98" s="2" t="s">
        <v>10</v>
      </c>
      <c r="F98" s="2" t="s">
        <v>11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3">
        <v>2023.0</v>
      </c>
      <c r="B99" s="2" t="s">
        <v>66</v>
      </c>
      <c r="C99" s="5" t="s">
        <v>83</v>
      </c>
      <c r="D99" s="5" t="s">
        <v>97</v>
      </c>
      <c r="E99" s="2" t="s">
        <v>10</v>
      </c>
      <c r="F99" s="2" t="s">
        <v>11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3">
        <v>2023.0</v>
      </c>
      <c r="B100" s="2" t="s">
        <v>66</v>
      </c>
      <c r="C100" s="5" t="s">
        <v>84</v>
      </c>
      <c r="D100" s="18" t="s">
        <v>95</v>
      </c>
      <c r="E100" s="2" t="s">
        <v>10</v>
      </c>
      <c r="F100" s="2" t="s">
        <v>11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3">
        <v>2023.0</v>
      </c>
      <c r="B101" s="2" t="s">
        <v>66</v>
      </c>
      <c r="C101" s="5" t="s">
        <v>84</v>
      </c>
      <c r="D101" s="5" t="s">
        <v>96</v>
      </c>
      <c r="E101" s="2" t="s">
        <v>10</v>
      </c>
      <c r="F101" s="2" t="s">
        <v>11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3">
        <v>2023.0</v>
      </c>
      <c r="B102" s="2" t="s">
        <v>66</v>
      </c>
      <c r="C102" s="5" t="s">
        <v>84</v>
      </c>
      <c r="D102" s="5" t="s">
        <v>97</v>
      </c>
      <c r="E102" s="2" t="s">
        <v>10</v>
      </c>
      <c r="F102" s="2" t="s">
        <v>11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3">
        <v>2023.0</v>
      </c>
      <c r="B103" s="2" t="s">
        <v>14</v>
      </c>
      <c r="C103" s="5" t="s">
        <v>16</v>
      </c>
      <c r="D103" s="18" t="s">
        <v>98</v>
      </c>
      <c r="E103" s="2" t="s">
        <v>10</v>
      </c>
      <c r="F103" s="2" t="s">
        <v>11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3">
        <v>2023.0</v>
      </c>
      <c r="B104" s="2" t="s">
        <v>14</v>
      </c>
      <c r="C104" s="5" t="s">
        <v>16</v>
      </c>
      <c r="D104" s="5" t="s">
        <v>96</v>
      </c>
      <c r="E104" s="2" t="s">
        <v>10</v>
      </c>
      <c r="F104" s="2" t="s">
        <v>11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3">
        <v>2023.0</v>
      </c>
      <c r="B105" s="2" t="s">
        <v>14</v>
      </c>
      <c r="C105" s="5" t="s">
        <v>16</v>
      </c>
      <c r="D105" s="5" t="s">
        <v>97</v>
      </c>
      <c r="E105" s="2" t="s">
        <v>10</v>
      </c>
      <c r="F105" s="2" t="s">
        <v>11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3">
        <v>2023.0</v>
      </c>
      <c r="B106" s="2" t="s">
        <v>49</v>
      </c>
      <c r="C106" s="5" t="s">
        <v>99</v>
      </c>
      <c r="D106" s="5" t="s">
        <v>100</v>
      </c>
      <c r="E106" s="2" t="s">
        <v>10</v>
      </c>
      <c r="F106" s="2" t="s">
        <v>11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3">
        <v>2023.0</v>
      </c>
      <c r="B107" s="2" t="s">
        <v>49</v>
      </c>
      <c r="C107" s="5" t="s">
        <v>99</v>
      </c>
      <c r="D107" s="5" t="s">
        <v>101</v>
      </c>
      <c r="E107" s="2" t="s">
        <v>10</v>
      </c>
      <c r="F107" s="2" t="s">
        <v>11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9">
        <v>2023.0</v>
      </c>
      <c r="B108" s="2"/>
      <c r="C108" s="18" t="s">
        <v>99</v>
      </c>
      <c r="D108" s="18" t="s">
        <v>102</v>
      </c>
      <c r="E108" s="20" t="s">
        <v>10</v>
      </c>
      <c r="F108" s="20" t="s">
        <v>11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3">
        <v>2023.0</v>
      </c>
      <c r="B109" s="2" t="s">
        <v>49</v>
      </c>
      <c r="C109" s="5" t="s">
        <v>84</v>
      </c>
      <c r="D109" s="5" t="s">
        <v>100</v>
      </c>
      <c r="E109" s="2" t="s">
        <v>10</v>
      </c>
      <c r="F109" s="2" t="s">
        <v>11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3">
        <v>2023.0</v>
      </c>
      <c r="B110" s="2" t="s">
        <v>49</v>
      </c>
      <c r="C110" s="5" t="s">
        <v>84</v>
      </c>
      <c r="D110" s="5" t="s">
        <v>101</v>
      </c>
      <c r="E110" s="2" t="s">
        <v>10</v>
      </c>
      <c r="F110" s="2" t="s">
        <v>11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3">
        <v>2023.0</v>
      </c>
      <c r="B111" s="2" t="s">
        <v>78</v>
      </c>
      <c r="C111" s="5" t="s">
        <v>16</v>
      </c>
      <c r="D111" s="5" t="s">
        <v>100</v>
      </c>
      <c r="E111" s="2" t="s">
        <v>10</v>
      </c>
      <c r="F111" s="2" t="s">
        <v>11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3">
        <v>2023.0</v>
      </c>
      <c r="B112" s="2" t="s">
        <v>78</v>
      </c>
      <c r="C112" s="5" t="s">
        <v>16</v>
      </c>
      <c r="D112" s="5" t="s">
        <v>101</v>
      </c>
      <c r="E112" s="2" t="s">
        <v>10</v>
      </c>
      <c r="F112" s="2" t="s">
        <v>11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9">
        <v>2023.0</v>
      </c>
      <c r="B113" s="2"/>
      <c r="C113" s="18" t="s">
        <v>16</v>
      </c>
      <c r="D113" s="18" t="s">
        <v>102</v>
      </c>
      <c r="E113" s="20" t="s">
        <v>10</v>
      </c>
      <c r="F113" s="20" t="s">
        <v>11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9"/>
      <c r="B114" s="2"/>
      <c r="C114" s="5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9">
        <v>2025.0</v>
      </c>
      <c r="B115" s="20" t="s">
        <v>25</v>
      </c>
      <c r="C115" s="18" t="s">
        <v>103</v>
      </c>
      <c r="D115" s="18" t="s">
        <v>104</v>
      </c>
      <c r="E115" s="20" t="s">
        <v>10</v>
      </c>
      <c r="F115" s="20" t="s">
        <v>11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9">
        <v>2025.0</v>
      </c>
      <c r="B116" s="20" t="s">
        <v>25</v>
      </c>
      <c r="C116" s="18" t="s">
        <v>103</v>
      </c>
      <c r="D116" s="18" t="s">
        <v>105</v>
      </c>
      <c r="E116" s="20" t="s">
        <v>10</v>
      </c>
      <c r="F116" s="20" t="s">
        <v>11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9">
        <v>2025.0</v>
      </c>
      <c r="B117" s="20" t="s">
        <v>25</v>
      </c>
      <c r="C117" s="18" t="s">
        <v>103</v>
      </c>
      <c r="D117" s="18" t="s">
        <v>106</v>
      </c>
      <c r="E117" s="20" t="s">
        <v>10</v>
      </c>
      <c r="F117" s="20" t="s">
        <v>11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9">
        <v>2025.0</v>
      </c>
      <c r="B118" s="20" t="s">
        <v>25</v>
      </c>
      <c r="C118" s="18" t="s">
        <v>103</v>
      </c>
      <c r="D118" s="18" t="s">
        <v>107</v>
      </c>
      <c r="E118" s="20" t="s">
        <v>10</v>
      </c>
      <c r="F118" s="20" t="s">
        <v>11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3"/>
      <c r="B119" s="2"/>
      <c r="C119" s="5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3"/>
      <c r="B120" s="2"/>
      <c r="C120" s="5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3"/>
      <c r="B121" s="2"/>
      <c r="C121" s="5"/>
      <c r="D121" s="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3"/>
      <c r="B122" s="2"/>
      <c r="C122" s="5"/>
      <c r="D122" s="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3"/>
      <c r="B123" s="2"/>
      <c r="C123" s="5"/>
      <c r="D123" s="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3"/>
      <c r="B124" s="2"/>
      <c r="C124" s="5"/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3"/>
      <c r="B125" s="2"/>
      <c r="C125" s="5"/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3"/>
      <c r="B126" s="2"/>
      <c r="C126" s="5"/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3"/>
      <c r="B127" s="2"/>
      <c r="C127" s="5"/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3"/>
      <c r="B128" s="2"/>
      <c r="C128" s="5"/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3"/>
      <c r="B129" s="2"/>
      <c r="C129" s="5"/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3"/>
      <c r="B130" s="2"/>
      <c r="C130" s="5"/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3"/>
      <c r="B131" s="2"/>
      <c r="C131" s="5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3"/>
      <c r="B132" s="2"/>
      <c r="C132" s="5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3"/>
      <c r="B133" s="2"/>
      <c r="C133" s="5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3"/>
      <c r="B134" s="2"/>
      <c r="C134" s="5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3"/>
      <c r="B135" s="2"/>
      <c r="C135" s="5"/>
      <c r="D135" s="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3"/>
      <c r="B136" s="2"/>
      <c r="C136" s="5"/>
      <c r="D136" s="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3"/>
      <c r="B137" s="2"/>
      <c r="C137" s="5"/>
      <c r="D137" s="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3"/>
      <c r="B138" s="2"/>
      <c r="C138" s="5"/>
      <c r="D138" s="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3"/>
      <c r="B139" s="2"/>
      <c r="C139" s="5"/>
      <c r="D139" s="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3"/>
      <c r="B140" s="2"/>
      <c r="C140" s="5"/>
      <c r="D140" s="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3"/>
      <c r="B141" s="2"/>
      <c r="C141" s="5"/>
      <c r="D141" s="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3"/>
      <c r="B142" s="2"/>
      <c r="C142" s="5"/>
      <c r="D142" s="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3"/>
      <c r="B143" s="2"/>
      <c r="C143" s="5"/>
      <c r="D143" s="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3"/>
      <c r="B144" s="2"/>
      <c r="C144" s="5"/>
      <c r="D144" s="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3"/>
      <c r="B145" s="2"/>
      <c r="C145" s="5"/>
      <c r="D145" s="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3"/>
      <c r="B146" s="2"/>
      <c r="C146" s="5"/>
      <c r="D146" s="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3"/>
      <c r="B147" s="2"/>
      <c r="C147" s="5"/>
      <c r="D147" s="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3"/>
      <c r="B148" s="2"/>
      <c r="C148" s="5"/>
      <c r="D148" s="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3"/>
      <c r="B149" s="2"/>
      <c r="C149" s="5"/>
      <c r="D149" s="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3"/>
      <c r="B150" s="2"/>
      <c r="C150" s="5"/>
      <c r="D150" s="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3"/>
      <c r="B151" s="2"/>
      <c r="C151" s="5"/>
      <c r="D151" s="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3"/>
      <c r="B152" s="2"/>
      <c r="C152" s="5"/>
      <c r="D152" s="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3"/>
      <c r="B153" s="2"/>
      <c r="C153" s="5"/>
      <c r="D153" s="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3"/>
      <c r="B154" s="2"/>
      <c r="C154" s="5"/>
      <c r="D154" s="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3"/>
      <c r="B155" s="2"/>
      <c r="C155" s="5"/>
      <c r="D155" s="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3"/>
      <c r="B156" s="2"/>
      <c r="C156" s="5"/>
      <c r="D156" s="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3"/>
      <c r="B157" s="2"/>
      <c r="C157" s="5"/>
      <c r="D157" s="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3"/>
      <c r="B158" s="2"/>
      <c r="C158" s="5"/>
      <c r="D158" s="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3"/>
      <c r="B159" s="2"/>
      <c r="C159" s="5"/>
      <c r="D159" s="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3"/>
      <c r="B160" s="2"/>
      <c r="C160" s="5"/>
      <c r="D160" s="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3"/>
      <c r="B161" s="2"/>
      <c r="C161" s="5"/>
      <c r="D161" s="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3"/>
      <c r="B162" s="2"/>
      <c r="C162" s="5"/>
      <c r="D162" s="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3"/>
      <c r="B163" s="2"/>
      <c r="C163" s="5"/>
      <c r="D163" s="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3"/>
      <c r="B164" s="2"/>
      <c r="C164" s="5"/>
      <c r="D164" s="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3"/>
      <c r="B165" s="2"/>
      <c r="C165" s="5"/>
      <c r="D165" s="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3"/>
      <c r="B166" s="2"/>
      <c r="C166" s="5"/>
      <c r="D166" s="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3"/>
      <c r="B167" s="2"/>
      <c r="C167" s="5"/>
      <c r="D167" s="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3"/>
      <c r="B168" s="2"/>
      <c r="C168" s="5"/>
      <c r="D168" s="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3"/>
      <c r="B169" s="2"/>
      <c r="C169" s="5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3"/>
      <c r="B170" s="2"/>
      <c r="C170" s="5"/>
      <c r="D170" s="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3"/>
      <c r="B171" s="2"/>
      <c r="C171" s="5"/>
      <c r="D171" s="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3"/>
      <c r="B172" s="2"/>
      <c r="C172" s="5"/>
      <c r="D172" s="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3"/>
      <c r="B173" s="2"/>
      <c r="C173" s="5"/>
      <c r="D173" s="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3"/>
      <c r="B174" s="2"/>
      <c r="C174" s="5"/>
      <c r="D174" s="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3"/>
      <c r="B175" s="2"/>
      <c r="C175" s="5"/>
      <c r="D175" s="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3"/>
      <c r="B176" s="2"/>
      <c r="C176" s="5"/>
      <c r="D176" s="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3"/>
      <c r="B177" s="2"/>
      <c r="C177" s="5"/>
      <c r="D177" s="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3"/>
      <c r="B178" s="2"/>
      <c r="C178" s="5"/>
      <c r="D178" s="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3"/>
      <c r="B179" s="2"/>
      <c r="C179" s="5"/>
      <c r="D179" s="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3"/>
      <c r="B180" s="2"/>
      <c r="C180" s="5"/>
      <c r="D180" s="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3"/>
      <c r="B181" s="2"/>
      <c r="C181" s="5"/>
      <c r="D181" s="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3"/>
      <c r="B182" s="2"/>
      <c r="C182" s="5"/>
      <c r="D182" s="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3"/>
      <c r="B183" s="2"/>
      <c r="C183" s="5"/>
      <c r="D183" s="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3"/>
      <c r="B184" s="2"/>
      <c r="C184" s="5"/>
      <c r="D184" s="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3"/>
      <c r="B185" s="2"/>
      <c r="C185" s="5"/>
      <c r="D185" s="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3"/>
      <c r="B186" s="2"/>
      <c r="C186" s="5"/>
      <c r="D186" s="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3"/>
      <c r="B187" s="2"/>
      <c r="C187" s="5"/>
      <c r="D187" s="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3"/>
      <c r="B188" s="2"/>
      <c r="C188" s="5"/>
      <c r="D188" s="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3"/>
      <c r="B189" s="2"/>
      <c r="C189" s="5"/>
      <c r="D189" s="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3"/>
      <c r="B190" s="2"/>
      <c r="C190" s="5"/>
      <c r="D190" s="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3"/>
      <c r="B191" s="2"/>
      <c r="C191" s="5"/>
      <c r="D191" s="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3"/>
      <c r="B192" s="2"/>
      <c r="C192" s="5"/>
      <c r="D192" s="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3"/>
      <c r="B193" s="2"/>
      <c r="C193" s="5"/>
      <c r="D193" s="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3"/>
      <c r="B194" s="2"/>
      <c r="C194" s="5"/>
      <c r="D194" s="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3"/>
      <c r="B195" s="2"/>
      <c r="C195" s="5"/>
      <c r="D195" s="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3"/>
      <c r="B196" s="2"/>
      <c r="C196" s="5"/>
      <c r="D196" s="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3"/>
      <c r="B197" s="2"/>
      <c r="C197" s="5"/>
      <c r="D197" s="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3"/>
      <c r="B198" s="2"/>
      <c r="C198" s="5"/>
      <c r="D198" s="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3"/>
      <c r="B199" s="2"/>
      <c r="C199" s="5"/>
      <c r="D199" s="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3"/>
      <c r="B200" s="2"/>
      <c r="C200" s="5"/>
      <c r="D200" s="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3"/>
      <c r="B201" s="2"/>
      <c r="C201" s="5"/>
      <c r="D201" s="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3"/>
      <c r="B202" s="2"/>
      <c r="C202" s="5"/>
      <c r="D202" s="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3"/>
      <c r="B203" s="2"/>
      <c r="C203" s="5"/>
      <c r="D203" s="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3"/>
      <c r="B204" s="2"/>
      <c r="C204" s="5"/>
      <c r="D204" s="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3"/>
      <c r="B205" s="2"/>
      <c r="C205" s="5"/>
      <c r="D205" s="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3"/>
      <c r="B206" s="2"/>
      <c r="C206" s="5"/>
      <c r="D206" s="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3"/>
      <c r="B207" s="2"/>
      <c r="C207" s="5"/>
      <c r="D207" s="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3"/>
      <c r="B208" s="2"/>
      <c r="C208" s="5"/>
      <c r="D208" s="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3"/>
      <c r="B209" s="2"/>
      <c r="C209" s="5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3"/>
      <c r="B210" s="2"/>
      <c r="C210" s="5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3"/>
      <c r="B211" s="2"/>
      <c r="C211" s="5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3"/>
      <c r="B212" s="2"/>
      <c r="C212" s="5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3"/>
      <c r="B213" s="2"/>
      <c r="C213" s="5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3"/>
      <c r="B214" s="2"/>
      <c r="C214" s="5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3"/>
      <c r="B215" s="2"/>
      <c r="C215" s="5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3"/>
      <c r="B216" s="2"/>
      <c r="C216" s="5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3"/>
      <c r="B217" s="2"/>
      <c r="C217" s="5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3"/>
      <c r="B218" s="2"/>
      <c r="C218" s="5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3"/>
      <c r="B219" s="2"/>
      <c r="C219" s="5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3"/>
      <c r="B220" s="2"/>
      <c r="C220" s="5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3"/>
      <c r="B221" s="2"/>
      <c r="C221" s="5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3"/>
      <c r="B222" s="2"/>
      <c r="C222" s="5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3"/>
      <c r="B223" s="2"/>
      <c r="C223" s="5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3"/>
      <c r="B224" s="2"/>
      <c r="C224" s="5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3"/>
      <c r="B225" s="2"/>
      <c r="C225" s="5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3"/>
      <c r="B226" s="2"/>
      <c r="C226" s="5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3"/>
      <c r="B227" s="2"/>
      <c r="C227" s="5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3"/>
      <c r="B228" s="2"/>
      <c r="C228" s="5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3"/>
      <c r="B229" s="2"/>
      <c r="C229" s="5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3"/>
      <c r="B230" s="2"/>
      <c r="C230" s="5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3"/>
      <c r="B231" s="2"/>
      <c r="C231" s="5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3"/>
      <c r="B232" s="2"/>
      <c r="C232" s="5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3"/>
      <c r="B233" s="2"/>
      <c r="C233" s="5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3"/>
      <c r="B234" s="2"/>
      <c r="C234" s="5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3"/>
      <c r="B235" s="2"/>
      <c r="C235" s="5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3"/>
      <c r="B236" s="2"/>
      <c r="C236" s="5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3"/>
      <c r="B237" s="2"/>
      <c r="C237" s="5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3"/>
      <c r="B238" s="2"/>
      <c r="C238" s="5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3"/>
      <c r="B239" s="2"/>
      <c r="C239" s="5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3"/>
      <c r="B240" s="2"/>
      <c r="C240" s="5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3"/>
      <c r="B241" s="2"/>
      <c r="C241" s="5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3"/>
      <c r="B242" s="2"/>
      <c r="C242" s="5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3"/>
      <c r="B243" s="2"/>
      <c r="C243" s="5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3"/>
      <c r="B244" s="2"/>
      <c r="C244" s="5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3"/>
      <c r="B245" s="2"/>
      <c r="C245" s="5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3"/>
      <c r="B246" s="2"/>
      <c r="C246" s="5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3"/>
      <c r="B247" s="2"/>
      <c r="C247" s="5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3"/>
      <c r="B248" s="2"/>
      <c r="C248" s="5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3"/>
      <c r="B249" s="2"/>
      <c r="C249" s="5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3"/>
      <c r="B250" s="2"/>
      <c r="C250" s="5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3"/>
      <c r="B251" s="2"/>
      <c r="C251" s="5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3"/>
      <c r="B252" s="2"/>
      <c r="C252" s="5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3"/>
      <c r="B253" s="2"/>
      <c r="C253" s="5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3"/>
      <c r="B254" s="2"/>
      <c r="C254" s="5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3"/>
      <c r="B255" s="2"/>
      <c r="C255" s="5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3"/>
      <c r="B256" s="2"/>
      <c r="C256" s="5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3"/>
      <c r="B257" s="2"/>
      <c r="C257" s="5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3"/>
      <c r="B258" s="2"/>
      <c r="C258" s="5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3"/>
      <c r="B259" s="2"/>
      <c r="C259" s="5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3"/>
      <c r="B260" s="2"/>
      <c r="C260" s="5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3"/>
      <c r="B261" s="2"/>
      <c r="C261" s="5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3"/>
      <c r="B262" s="2"/>
      <c r="C262" s="5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3"/>
      <c r="B263" s="2"/>
      <c r="C263" s="5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3"/>
      <c r="B264" s="2"/>
      <c r="C264" s="5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3"/>
      <c r="B265" s="2"/>
      <c r="C265" s="5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3"/>
      <c r="B266" s="2"/>
      <c r="C266" s="5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3"/>
      <c r="B267" s="2"/>
      <c r="C267" s="5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3"/>
      <c r="B268" s="2"/>
      <c r="C268" s="5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3"/>
      <c r="B269" s="2"/>
      <c r="C269" s="5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3"/>
      <c r="B270" s="2"/>
      <c r="C270" s="5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3"/>
      <c r="B271" s="2"/>
      <c r="C271" s="5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3"/>
      <c r="B272" s="2"/>
      <c r="C272" s="5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3"/>
      <c r="B273" s="2"/>
      <c r="C273" s="5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3"/>
      <c r="B274" s="2"/>
      <c r="C274" s="5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3"/>
      <c r="B275" s="2"/>
      <c r="C275" s="5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3"/>
      <c r="B276" s="2"/>
      <c r="C276" s="5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3"/>
      <c r="B277" s="2"/>
      <c r="C277" s="5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3"/>
      <c r="B278" s="2"/>
      <c r="C278" s="5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3"/>
      <c r="B279" s="2"/>
      <c r="C279" s="5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3"/>
      <c r="B280" s="2"/>
      <c r="C280" s="5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3"/>
      <c r="B281" s="2"/>
      <c r="C281" s="5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3"/>
      <c r="B282" s="2"/>
      <c r="C282" s="5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3"/>
      <c r="B283" s="2"/>
      <c r="C283" s="5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3"/>
      <c r="B284" s="2"/>
      <c r="C284" s="5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3"/>
      <c r="B285" s="2"/>
      <c r="C285" s="5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3"/>
      <c r="B286" s="2"/>
      <c r="C286" s="5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3"/>
      <c r="B287" s="2"/>
      <c r="C287" s="5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3"/>
      <c r="B288" s="2"/>
      <c r="C288" s="5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3"/>
      <c r="B289" s="2"/>
      <c r="C289" s="5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3"/>
      <c r="B290" s="2"/>
      <c r="C290" s="5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3"/>
      <c r="B291" s="2"/>
      <c r="C291" s="5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3"/>
      <c r="B292" s="2"/>
      <c r="C292" s="5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3"/>
      <c r="B293" s="2"/>
      <c r="C293" s="5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3"/>
      <c r="B294" s="2"/>
      <c r="C294" s="5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3"/>
      <c r="B295" s="2"/>
      <c r="C295" s="5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3"/>
      <c r="B296" s="2"/>
      <c r="C296" s="5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3"/>
      <c r="B297" s="2"/>
      <c r="C297" s="5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3"/>
      <c r="B298" s="2"/>
      <c r="C298" s="5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3"/>
      <c r="B299" s="2"/>
      <c r="C299" s="5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3"/>
      <c r="B300" s="2"/>
      <c r="C300" s="5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3"/>
      <c r="B301" s="2"/>
      <c r="C301" s="5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3"/>
      <c r="B302" s="2"/>
      <c r="C302" s="5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3"/>
      <c r="B303" s="2"/>
      <c r="C303" s="5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3"/>
      <c r="B304" s="2"/>
      <c r="C304" s="5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3"/>
      <c r="B305" s="2"/>
      <c r="C305" s="5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3"/>
      <c r="B306" s="2"/>
      <c r="C306" s="5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3"/>
      <c r="B307" s="2"/>
      <c r="C307" s="5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3"/>
      <c r="B308" s="2"/>
      <c r="C308" s="5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3"/>
      <c r="B309" s="2"/>
      <c r="C309" s="5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3"/>
      <c r="B310" s="2"/>
      <c r="C310" s="5"/>
      <c r="D310" s="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3"/>
      <c r="B311" s="2"/>
      <c r="C311" s="5"/>
      <c r="D311" s="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3"/>
      <c r="B312" s="2"/>
      <c r="C312" s="5"/>
      <c r="D312" s="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F1"/>
  </mergeCells>
  <printOptions/>
  <pageMargins bottom="0.39375" footer="0.0" header="0.0" left="0.5" right="0.0" top="0.39375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34.0"/>
  </cols>
  <sheetData>
    <row r="1">
      <c r="A1" s="21" t="s">
        <v>108</v>
      </c>
    </row>
    <row r="2">
      <c r="A2" s="22" t="s">
        <v>109</v>
      </c>
    </row>
    <row r="3">
      <c r="A3" s="23" t="s">
        <v>110</v>
      </c>
    </row>
    <row r="4">
      <c r="A4" s="24" t="s">
        <v>111</v>
      </c>
    </row>
    <row r="5">
      <c r="A5" s="23" t="s">
        <v>112</v>
      </c>
    </row>
    <row r="6">
      <c r="A6" s="23" t="s">
        <v>113</v>
      </c>
    </row>
    <row r="7">
      <c r="A7" s="23" t="s">
        <v>114</v>
      </c>
    </row>
    <row r="8">
      <c r="A8" s="25" t="s">
        <v>115</v>
      </c>
    </row>
    <row r="9">
      <c r="A9" s="25" t="s">
        <v>116</v>
      </c>
    </row>
    <row r="10">
      <c r="A10" s="26" t="s">
        <v>117</v>
      </c>
    </row>
    <row r="11">
      <c r="A11" s="25" t="s">
        <v>118</v>
      </c>
    </row>
    <row r="12">
      <c r="A12" s="25" t="s">
        <v>119</v>
      </c>
    </row>
    <row r="13">
      <c r="A13" s="25" t="s">
        <v>120</v>
      </c>
    </row>
    <row r="14">
      <c r="A14" s="25" t="s">
        <v>121</v>
      </c>
    </row>
    <row r="15">
      <c r="A15" s="25" t="s">
        <v>122</v>
      </c>
    </row>
    <row r="16">
      <c r="A16" s="25" t="s">
        <v>123</v>
      </c>
    </row>
    <row r="17">
      <c r="A17" s="25" t="s">
        <v>124</v>
      </c>
    </row>
    <row r="18">
      <c r="A18" s="25" t="s">
        <v>108</v>
      </c>
    </row>
    <row r="19">
      <c r="A19" s="23" t="s">
        <v>125</v>
      </c>
    </row>
    <row r="20">
      <c r="A20" s="23" t="s">
        <v>126</v>
      </c>
    </row>
    <row r="21">
      <c r="A21" s="27" t="s">
        <v>127</v>
      </c>
    </row>
    <row r="22">
      <c r="A22" s="27" t="s">
        <v>128</v>
      </c>
    </row>
    <row r="23">
      <c r="A23" s="23" t="s">
        <v>129</v>
      </c>
    </row>
    <row r="24">
      <c r="A24" s="27" t="s">
        <v>130</v>
      </c>
    </row>
    <row r="25">
      <c r="A25" s="24" t="s">
        <v>131</v>
      </c>
    </row>
    <row r="26">
      <c r="A26" s="25" t="s">
        <v>115</v>
      </c>
    </row>
    <row r="27">
      <c r="A27" s="25" t="s">
        <v>132</v>
      </c>
    </row>
    <row r="28">
      <c r="A28" s="25" t="s">
        <v>133</v>
      </c>
    </row>
    <row r="29">
      <c r="A29" s="25" t="s">
        <v>134</v>
      </c>
    </row>
    <row r="30">
      <c r="A30" s="25" t="s">
        <v>135</v>
      </c>
    </row>
    <row r="31">
      <c r="A31" s="25" t="s">
        <v>136</v>
      </c>
    </row>
    <row r="32">
      <c r="A32" s="25" t="s">
        <v>137</v>
      </c>
    </row>
    <row r="33">
      <c r="A33" s="25" t="s">
        <v>138</v>
      </c>
    </row>
    <row r="34">
      <c r="A34" s="25" t="s">
        <v>139</v>
      </c>
    </row>
    <row r="35">
      <c r="A35" s="25" t="s">
        <v>140</v>
      </c>
    </row>
    <row r="36">
      <c r="A36" s="25" t="s">
        <v>141</v>
      </c>
    </row>
    <row r="37">
      <c r="A37" s="25" t="s">
        <v>142</v>
      </c>
    </row>
    <row r="38">
      <c r="A38" s="25" t="s">
        <v>143</v>
      </c>
    </row>
    <row r="39">
      <c r="A39" s="25" t="s">
        <v>144</v>
      </c>
    </row>
    <row r="40">
      <c r="A40" s="25" t="s">
        <v>145</v>
      </c>
    </row>
    <row r="41">
      <c r="A41" s="25" t="s">
        <v>146</v>
      </c>
    </row>
    <row r="42">
      <c r="A42" s="25" t="s">
        <v>147</v>
      </c>
    </row>
    <row r="43">
      <c r="A43" s="25" t="s">
        <v>148</v>
      </c>
    </row>
    <row r="44">
      <c r="A44" s="25" t="s">
        <v>149</v>
      </c>
    </row>
    <row r="45">
      <c r="A45" s="25" t="s">
        <v>150</v>
      </c>
    </row>
    <row r="46">
      <c r="A46" s="25" t="s">
        <v>151</v>
      </c>
    </row>
    <row r="47">
      <c r="A47" s="25" t="s">
        <v>152</v>
      </c>
    </row>
    <row r="48">
      <c r="A48" s="25" t="s">
        <v>153</v>
      </c>
    </row>
    <row r="49">
      <c r="A49" s="26" t="s">
        <v>154</v>
      </c>
    </row>
    <row r="50">
      <c r="A50" s="26" t="s">
        <v>155</v>
      </c>
    </row>
    <row r="51">
      <c r="A51" s="26" t="s">
        <v>156</v>
      </c>
    </row>
    <row r="52">
      <c r="A52" s="26" t="s">
        <v>157</v>
      </c>
    </row>
    <row r="53">
      <c r="A53" s="26" t="s">
        <v>158</v>
      </c>
    </row>
    <row r="54">
      <c r="A54" s="26" t="s">
        <v>159</v>
      </c>
    </row>
    <row r="55">
      <c r="A55" s="26" t="s">
        <v>160</v>
      </c>
    </row>
    <row r="56">
      <c r="A56" s="26" t="s">
        <v>161</v>
      </c>
    </row>
    <row r="57">
      <c r="A57" s="26" t="s">
        <v>162</v>
      </c>
    </row>
    <row r="58">
      <c r="A58" s="25" t="s">
        <v>108</v>
      </c>
    </row>
    <row r="59">
      <c r="A59" s="23" t="s">
        <v>163</v>
      </c>
    </row>
    <row r="60">
      <c r="A60" s="23" t="s">
        <v>164</v>
      </c>
    </row>
    <row r="61">
      <c r="A61" s="24" t="s">
        <v>165</v>
      </c>
    </row>
    <row r="62">
      <c r="A62" s="23" t="s">
        <v>166</v>
      </c>
    </row>
    <row r="63">
      <c r="A63" s="24" t="s">
        <v>167</v>
      </c>
    </row>
    <row r="64">
      <c r="A64" s="23" t="s">
        <v>168</v>
      </c>
    </row>
    <row r="65">
      <c r="A65" s="28" t="s">
        <v>169</v>
      </c>
    </row>
    <row r="66">
      <c r="A66" s="23" t="s">
        <v>170</v>
      </c>
    </row>
    <row r="67">
      <c r="A67" s="28" t="s">
        <v>171</v>
      </c>
    </row>
    <row r="68">
      <c r="A68" s="27" t="s">
        <v>172</v>
      </c>
    </row>
    <row r="69">
      <c r="A69" s="23" t="s">
        <v>173</v>
      </c>
    </row>
    <row r="70">
      <c r="A70" s="28" t="s">
        <v>174</v>
      </c>
    </row>
    <row r="71">
      <c r="A71" s="28" t="s">
        <v>175</v>
      </c>
    </row>
    <row r="72">
      <c r="A72" s="25" t="s">
        <v>115</v>
      </c>
    </row>
    <row r="73">
      <c r="A73" s="25" t="s">
        <v>176</v>
      </c>
    </row>
    <row r="74">
      <c r="A74" s="25" t="s">
        <v>177</v>
      </c>
    </row>
    <row r="75">
      <c r="A75" s="25" t="s">
        <v>178</v>
      </c>
    </row>
    <row r="76">
      <c r="A76" s="25" t="s">
        <v>179</v>
      </c>
    </row>
    <row r="77">
      <c r="A77" s="25" t="s">
        <v>180</v>
      </c>
    </row>
    <row r="78">
      <c r="A78" s="25" t="s">
        <v>181</v>
      </c>
    </row>
    <row r="79">
      <c r="A79" s="25" t="s">
        <v>182</v>
      </c>
    </row>
    <row r="80">
      <c r="A80" s="25" t="s">
        <v>183</v>
      </c>
    </row>
    <row r="81">
      <c r="A81" s="25" t="s">
        <v>184</v>
      </c>
    </row>
    <row r="82">
      <c r="A82" s="25" t="s">
        <v>185</v>
      </c>
    </row>
    <row r="83">
      <c r="A83" s="25" t="s">
        <v>186</v>
      </c>
    </row>
    <row r="84">
      <c r="A84" s="25" t="s">
        <v>187</v>
      </c>
    </row>
    <row r="85">
      <c r="A85" s="25" t="s">
        <v>188</v>
      </c>
    </row>
    <row r="86">
      <c r="A86" s="25" t="s">
        <v>189</v>
      </c>
    </row>
    <row r="87">
      <c r="A87" s="25" t="s">
        <v>190</v>
      </c>
    </row>
    <row r="88">
      <c r="A88" s="25" t="s">
        <v>191</v>
      </c>
    </row>
    <row r="89">
      <c r="A89" s="25" t="s">
        <v>192</v>
      </c>
    </row>
    <row r="90">
      <c r="A90" s="25" t="s">
        <v>193</v>
      </c>
    </row>
    <row r="91">
      <c r="A91" s="25" t="s">
        <v>194</v>
      </c>
    </row>
    <row r="92">
      <c r="A92" s="25" t="s">
        <v>195</v>
      </c>
    </row>
    <row r="93">
      <c r="A93" s="25" t="s">
        <v>196</v>
      </c>
    </row>
    <row r="94">
      <c r="A94" s="25" t="s">
        <v>197</v>
      </c>
    </row>
    <row r="95">
      <c r="A95" s="25" t="s">
        <v>198</v>
      </c>
    </row>
    <row r="96">
      <c r="A96" s="25" t="s">
        <v>199</v>
      </c>
    </row>
    <row r="97">
      <c r="A97" s="25" t="s">
        <v>200</v>
      </c>
    </row>
    <row r="98">
      <c r="A98" s="25" t="s">
        <v>201</v>
      </c>
    </row>
    <row r="99">
      <c r="A99" s="25" t="s">
        <v>202</v>
      </c>
    </row>
    <row r="100">
      <c r="A100" s="25" t="s">
        <v>203</v>
      </c>
    </row>
    <row r="101">
      <c r="A101" s="25" t="s">
        <v>204</v>
      </c>
    </row>
    <row r="102">
      <c r="A102" s="25" t="s">
        <v>205</v>
      </c>
    </row>
    <row r="103">
      <c r="A103" s="25" t="s">
        <v>206</v>
      </c>
    </row>
    <row r="104">
      <c r="A104" s="25" t="s">
        <v>207</v>
      </c>
    </row>
    <row r="105">
      <c r="A105" s="25" t="s">
        <v>208</v>
      </c>
    </row>
    <row r="106">
      <c r="A106" s="25" t="s">
        <v>209</v>
      </c>
    </row>
    <row r="107">
      <c r="A107" s="25" t="s">
        <v>210</v>
      </c>
    </row>
    <row r="108">
      <c r="A108" s="25" t="s">
        <v>211</v>
      </c>
    </row>
    <row r="109">
      <c r="A109" s="25" t="s">
        <v>212</v>
      </c>
    </row>
    <row r="110">
      <c r="A110" s="25" t="s">
        <v>213</v>
      </c>
    </row>
    <row r="111">
      <c r="A111" s="25" t="s">
        <v>214</v>
      </c>
    </row>
    <row r="112">
      <c r="A112" s="29"/>
    </row>
    <row r="113">
      <c r="A113" s="30" t="s">
        <v>215</v>
      </c>
    </row>
    <row r="114">
      <c r="A114" s="30" t="s">
        <v>4</v>
      </c>
      <c r="B114" s="30" t="s">
        <v>216</v>
      </c>
    </row>
    <row r="115">
      <c r="A115" s="31" t="s">
        <v>9</v>
      </c>
      <c r="B115" s="30">
        <v>2007.0</v>
      </c>
    </row>
    <row r="116">
      <c r="A116" s="31" t="s">
        <v>21</v>
      </c>
      <c r="B116" s="30">
        <v>2010.0</v>
      </c>
    </row>
    <row r="117">
      <c r="A117" s="31" t="s">
        <v>27</v>
      </c>
      <c r="B117" s="30">
        <v>2010.0</v>
      </c>
    </row>
    <row r="118">
      <c r="A118" s="31" t="s">
        <v>36</v>
      </c>
      <c r="B118" s="30">
        <v>2011.0</v>
      </c>
    </row>
    <row r="119">
      <c r="A119" s="31" t="s">
        <v>35</v>
      </c>
      <c r="B119" s="30">
        <v>2011.0</v>
      </c>
    </row>
    <row r="120">
      <c r="A120" s="31" t="s">
        <v>39</v>
      </c>
      <c r="B120" s="30">
        <v>2012.0</v>
      </c>
    </row>
    <row r="121">
      <c r="A121" s="31" t="s">
        <v>38</v>
      </c>
      <c r="B121" s="30">
        <v>2012.0</v>
      </c>
    </row>
    <row r="122">
      <c r="A122" s="31" t="s">
        <v>37</v>
      </c>
      <c r="B122" s="30">
        <v>2012.0</v>
      </c>
    </row>
    <row r="123">
      <c r="A123" s="31" t="s">
        <v>45</v>
      </c>
      <c r="B123" s="30">
        <v>2014.0</v>
      </c>
    </row>
    <row r="124">
      <c r="A124" s="31" t="s">
        <v>42</v>
      </c>
      <c r="B124" s="30">
        <v>2014.0</v>
      </c>
    </row>
    <row r="125">
      <c r="A125" s="31" t="s">
        <v>47</v>
      </c>
      <c r="B125" s="30">
        <v>2014.0</v>
      </c>
    </row>
    <row r="126">
      <c r="A126" s="31" t="s">
        <v>44</v>
      </c>
      <c r="B126" s="30">
        <v>2014.0</v>
      </c>
    </row>
    <row r="127">
      <c r="A127" s="31" t="s">
        <v>55</v>
      </c>
      <c r="B127" s="30">
        <v>2015.0</v>
      </c>
    </row>
    <row r="128">
      <c r="A128" s="31" t="s">
        <v>57</v>
      </c>
      <c r="B128" s="30">
        <v>2015.0</v>
      </c>
    </row>
    <row r="129">
      <c r="A129" s="31" t="s">
        <v>58</v>
      </c>
      <c r="B129" s="30">
        <v>2015.0</v>
      </c>
    </row>
    <row r="130">
      <c r="A130" s="31" t="s">
        <v>51</v>
      </c>
      <c r="B130" s="30">
        <v>2015.0</v>
      </c>
    </row>
    <row r="131">
      <c r="A131" s="31" t="s">
        <v>217</v>
      </c>
      <c r="B131" s="30">
        <v>2016.0</v>
      </c>
    </row>
    <row r="132">
      <c r="A132" s="31" t="s">
        <v>80</v>
      </c>
      <c r="B132" s="30">
        <v>2019.0</v>
      </c>
    </row>
    <row r="133">
      <c r="A133" s="31" t="s">
        <v>85</v>
      </c>
      <c r="B133" s="30">
        <v>2020.0</v>
      </c>
    </row>
    <row r="134">
      <c r="A134" s="31" t="s">
        <v>88</v>
      </c>
      <c r="B134" s="30">
        <v>2021.0</v>
      </c>
    </row>
    <row r="135">
      <c r="A135" s="31" t="s">
        <v>92</v>
      </c>
      <c r="B135" s="30">
        <v>2022.0</v>
      </c>
    </row>
    <row r="136">
      <c r="A136" s="31" t="s">
        <v>100</v>
      </c>
      <c r="B136" s="30">
        <v>2023.0</v>
      </c>
    </row>
    <row r="137">
      <c r="A137" s="31" t="s">
        <v>96</v>
      </c>
      <c r="B137" s="30">
        <v>2023.0</v>
      </c>
    </row>
    <row r="138">
      <c r="A138" s="31" t="s">
        <v>97</v>
      </c>
      <c r="B138" s="30">
        <v>2023.0</v>
      </c>
    </row>
    <row r="139">
      <c r="A139" s="31" t="s">
        <v>218</v>
      </c>
      <c r="B139" s="30">
        <v>2023.0</v>
      </c>
    </row>
    <row r="140">
      <c r="A140" s="31" t="s">
        <v>101</v>
      </c>
      <c r="B140" s="30">
        <v>2023.0</v>
      </c>
    </row>
    <row r="141">
      <c r="A141" s="31" t="s">
        <v>102</v>
      </c>
      <c r="B141" s="30">
        <v>2023.0</v>
      </c>
    </row>
    <row r="142">
      <c r="A142" s="31" t="s">
        <v>104</v>
      </c>
      <c r="B142" s="30">
        <v>2025.0</v>
      </c>
    </row>
    <row r="143">
      <c r="A143" s="31" t="s">
        <v>106</v>
      </c>
      <c r="B143" s="30">
        <v>2025.0</v>
      </c>
    </row>
    <row r="144">
      <c r="A144" s="31" t="s">
        <v>105</v>
      </c>
      <c r="B144" s="30">
        <v>2025.0</v>
      </c>
    </row>
    <row r="145">
      <c r="A145" s="31" t="s">
        <v>107</v>
      </c>
      <c r="B145" s="30">
        <v>2025.0</v>
      </c>
    </row>
    <row r="146">
      <c r="A146" s="29"/>
    </row>
    <row r="147">
      <c r="A147" s="32" t="s">
        <v>219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8.38"/>
    <col customWidth="1" min="2" max="2" width="15.38"/>
    <col customWidth="1" min="3" max="3" width="20.25"/>
    <col customWidth="1" min="4" max="4" width="9.25"/>
    <col customWidth="1" min="5" max="6" width="8.75"/>
    <col customWidth="1" min="7" max="7" width="16.25"/>
    <col customWidth="1" min="8" max="9" width="16.13"/>
    <col customWidth="1" min="10" max="10" width="11.63"/>
    <col customWidth="1" min="11" max="27" width="8.63"/>
  </cols>
  <sheetData>
    <row r="1" ht="14.25" customHeight="1">
      <c r="E1" s="33" t="s">
        <v>220</v>
      </c>
      <c r="H1" s="34"/>
      <c r="I1" s="34" t="s">
        <v>221</v>
      </c>
      <c r="J1" s="34" t="s">
        <v>222</v>
      </c>
      <c r="K1" s="35"/>
    </row>
    <row r="2" ht="14.25" customHeight="1">
      <c r="A2" s="35" t="s">
        <v>223</v>
      </c>
      <c r="B2" s="35" t="s">
        <v>5</v>
      </c>
      <c r="C2" s="35" t="s">
        <v>4</v>
      </c>
      <c r="D2" s="36" t="s">
        <v>46</v>
      </c>
      <c r="E2" s="36" t="s">
        <v>224</v>
      </c>
      <c r="F2" s="36" t="s">
        <v>225</v>
      </c>
      <c r="G2" s="37" t="s">
        <v>226</v>
      </c>
      <c r="H2" s="35" t="s">
        <v>227</v>
      </c>
    </row>
    <row r="3" ht="14.25" customHeight="1">
      <c r="A3" s="34" t="s">
        <v>228</v>
      </c>
    </row>
    <row r="4" ht="14.25" customHeight="1">
      <c r="B4" s="38" t="s">
        <v>229</v>
      </c>
      <c r="C4" s="39"/>
      <c r="D4" s="40"/>
      <c r="E4" s="40"/>
      <c r="F4" s="40"/>
    </row>
    <row r="5" ht="14.25" customHeight="1">
      <c r="C5" s="41" t="s">
        <v>230</v>
      </c>
      <c r="D5" s="40"/>
      <c r="E5" s="40">
        <v>2008.0</v>
      </c>
      <c r="F5" s="40">
        <v>2011.0</v>
      </c>
      <c r="G5" s="40">
        <v>2017.0</v>
      </c>
      <c r="I5" s="41">
        <v>20.0</v>
      </c>
      <c r="J5" s="41">
        <v>3.0</v>
      </c>
    </row>
    <row r="6" ht="14.25" customHeight="1">
      <c r="C6" s="41" t="s">
        <v>35</v>
      </c>
      <c r="D6" s="40">
        <v>2016.0</v>
      </c>
      <c r="E6" s="40">
        <v>2011.0</v>
      </c>
      <c r="F6" s="40">
        <v>2013.0</v>
      </c>
      <c r="G6" s="40">
        <v>2017.0</v>
      </c>
      <c r="H6" s="42">
        <v>2019.0</v>
      </c>
      <c r="I6" s="41">
        <v>20.0</v>
      </c>
      <c r="J6" s="41">
        <v>3.0</v>
      </c>
    </row>
    <row r="7" ht="14.25" customHeight="1">
      <c r="C7" s="41" t="s">
        <v>36</v>
      </c>
      <c r="D7" s="40">
        <v>2013.0</v>
      </c>
      <c r="E7" s="40">
        <v>2011.0</v>
      </c>
      <c r="F7" s="40">
        <v>2013.0</v>
      </c>
      <c r="G7" s="40">
        <v>2017.0</v>
      </c>
      <c r="I7" s="41">
        <v>20.0</v>
      </c>
      <c r="J7" s="41">
        <v>3.0</v>
      </c>
    </row>
    <row r="8" ht="14.25" customHeight="1">
      <c r="C8" s="41" t="s">
        <v>231</v>
      </c>
      <c r="D8" s="40"/>
      <c r="E8" s="40">
        <v>2012.0</v>
      </c>
      <c r="F8" s="40"/>
      <c r="G8" s="40">
        <v>2017.0</v>
      </c>
      <c r="I8" s="41">
        <v>5.0</v>
      </c>
      <c r="J8" s="41">
        <v>3.0</v>
      </c>
    </row>
    <row r="9" ht="14.25" customHeight="1">
      <c r="C9" s="41" t="s">
        <v>38</v>
      </c>
      <c r="D9" s="40">
        <v>2018.0</v>
      </c>
      <c r="E9" s="40">
        <v>2012.0</v>
      </c>
      <c r="F9" s="40">
        <v>2019.0</v>
      </c>
      <c r="G9" s="40">
        <v>2017.0</v>
      </c>
      <c r="H9" s="42">
        <v>2019.0</v>
      </c>
      <c r="I9" s="41">
        <v>20.0</v>
      </c>
      <c r="J9" s="41">
        <v>3.0</v>
      </c>
    </row>
    <row r="10" ht="14.25" customHeight="1">
      <c r="C10" s="41" t="s">
        <v>39</v>
      </c>
      <c r="D10" s="40">
        <v>2016.0</v>
      </c>
      <c r="E10" s="40">
        <v>2012.0</v>
      </c>
      <c r="F10" s="40">
        <v>2016.0</v>
      </c>
      <c r="G10" s="40">
        <v>2017.0</v>
      </c>
      <c r="I10" s="41">
        <v>20.0</v>
      </c>
      <c r="J10" s="41">
        <v>3.0</v>
      </c>
    </row>
    <row r="11" ht="14.25" customHeight="1">
      <c r="C11" s="42" t="s">
        <v>232</v>
      </c>
      <c r="D11" s="40">
        <v>2023.0</v>
      </c>
      <c r="E11" s="40">
        <v>2023.0</v>
      </c>
      <c r="F11" s="40">
        <v>2023.0</v>
      </c>
      <c r="H11" s="42">
        <v>2023.0</v>
      </c>
      <c r="I11" s="42">
        <v>20.0</v>
      </c>
      <c r="J11" s="42">
        <v>2.0</v>
      </c>
    </row>
    <row r="12" ht="14.25" customHeight="1">
      <c r="C12" s="42" t="s">
        <v>96</v>
      </c>
      <c r="D12" s="40">
        <v>2023.0</v>
      </c>
      <c r="E12" s="40">
        <v>2023.0</v>
      </c>
      <c r="F12" s="40">
        <v>2023.0</v>
      </c>
      <c r="H12" s="42">
        <v>2023.0</v>
      </c>
      <c r="I12" s="42">
        <v>20.0</v>
      </c>
      <c r="J12" s="42">
        <v>2.0</v>
      </c>
    </row>
    <row r="13" ht="14.25" customHeight="1">
      <c r="C13" s="42" t="s">
        <v>97</v>
      </c>
      <c r="D13" s="40">
        <v>2023.0</v>
      </c>
      <c r="E13" s="40">
        <v>2023.0</v>
      </c>
      <c r="F13" s="40">
        <v>2023.0</v>
      </c>
      <c r="H13" s="42">
        <v>2023.0</v>
      </c>
      <c r="I13" s="42">
        <v>20.0</v>
      </c>
      <c r="J13" s="42">
        <v>2.0</v>
      </c>
    </row>
    <row r="14" ht="14.25" customHeight="1">
      <c r="C14" s="40" t="s">
        <v>100</v>
      </c>
      <c r="D14" s="40">
        <v>2023.0</v>
      </c>
      <c r="E14" s="40">
        <v>2023.0</v>
      </c>
      <c r="F14" s="40">
        <v>2023.0</v>
      </c>
      <c r="H14" s="42">
        <v>2023.0</v>
      </c>
      <c r="I14" s="42">
        <v>20.0</v>
      </c>
      <c r="J14" s="42">
        <v>2.0</v>
      </c>
    </row>
    <row r="15" ht="14.25" customHeight="1">
      <c r="B15" s="38"/>
      <c r="C15" s="40" t="s">
        <v>101</v>
      </c>
      <c r="D15" s="40">
        <v>2023.0</v>
      </c>
      <c r="E15" s="40">
        <v>2023.0</v>
      </c>
      <c r="F15" s="40">
        <v>2023.0</v>
      </c>
      <c r="H15" s="42">
        <v>2023.0</v>
      </c>
      <c r="I15" s="42">
        <v>20.0</v>
      </c>
      <c r="J15" s="42">
        <v>2.0</v>
      </c>
    </row>
    <row r="16" ht="14.25" customHeight="1">
      <c r="B16" s="38"/>
      <c r="C16" s="39"/>
      <c r="D16" s="40"/>
      <c r="E16" s="40"/>
      <c r="F16" s="40"/>
    </row>
    <row r="17" ht="14.25" customHeight="1">
      <c r="B17" s="38" t="s">
        <v>233</v>
      </c>
      <c r="C17" s="39"/>
      <c r="D17" s="40"/>
      <c r="E17" s="40"/>
      <c r="F17" s="40"/>
    </row>
    <row r="18" ht="14.25" customHeight="1">
      <c r="C18" s="42" t="s">
        <v>44</v>
      </c>
      <c r="D18" s="40"/>
      <c r="E18" s="40">
        <v>2014.0</v>
      </c>
      <c r="F18" s="40">
        <v>2022.0</v>
      </c>
      <c r="G18" s="41">
        <v>2017.0</v>
      </c>
      <c r="H18" s="42">
        <v>2022.0</v>
      </c>
      <c r="I18" s="42">
        <v>20.0</v>
      </c>
      <c r="J18" s="41">
        <v>3.0</v>
      </c>
    </row>
    <row r="19" ht="14.25" customHeight="1">
      <c r="C19" s="41" t="s">
        <v>42</v>
      </c>
      <c r="D19" s="40">
        <v>2017.0</v>
      </c>
      <c r="E19" s="40">
        <v>2014.0</v>
      </c>
      <c r="F19" s="40">
        <v>2017.0</v>
      </c>
      <c r="G19" s="41">
        <v>2017.0</v>
      </c>
      <c r="I19" s="41">
        <v>20.0</v>
      </c>
      <c r="J19" s="41">
        <v>3.0</v>
      </c>
    </row>
    <row r="20" ht="14.25" customHeight="1">
      <c r="C20" s="41" t="s">
        <v>45</v>
      </c>
      <c r="D20" s="40"/>
      <c r="E20" s="40">
        <v>2014.0</v>
      </c>
      <c r="F20" s="40"/>
      <c r="G20" s="41">
        <v>2017.0</v>
      </c>
      <c r="I20" s="41">
        <v>5.0</v>
      </c>
      <c r="J20" s="41">
        <v>3.0</v>
      </c>
    </row>
    <row r="21" ht="14.25" customHeight="1">
      <c r="D21" s="40"/>
      <c r="E21" s="40"/>
      <c r="F21" s="40"/>
    </row>
    <row r="22" ht="14.25" customHeight="1">
      <c r="A22" s="34"/>
      <c r="B22" s="43" t="s">
        <v>234</v>
      </c>
      <c r="C22" s="42" t="s">
        <v>21</v>
      </c>
      <c r="D22" s="40"/>
      <c r="E22" s="40">
        <v>2010.0</v>
      </c>
      <c r="F22" s="40"/>
      <c r="I22" s="42">
        <v>5.0</v>
      </c>
      <c r="J22" s="42">
        <v>1.0</v>
      </c>
    </row>
    <row r="23" ht="14.25" customHeight="1">
      <c r="A23" s="34"/>
      <c r="D23" s="40"/>
      <c r="E23" s="40"/>
      <c r="F23" s="40"/>
    </row>
    <row r="24" ht="14.25" customHeight="1">
      <c r="A24" s="34"/>
      <c r="B24" s="43" t="s">
        <v>235</v>
      </c>
      <c r="C24" s="42" t="s">
        <v>236</v>
      </c>
      <c r="D24" s="40"/>
      <c r="E24" s="40"/>
      <c r="F24" s="40"/>
      <c r="G24" s="44" t="s">
        <v>237</v>
      </c>
    </row>
    <row r="25" ht="14.25" customHeight="1">
      <c r="A25" s="34"/>
      <c r="B25" s="43"/>
      <c r="C25" s="43"/>
      <c r="D25" s="43"/>
      <c r="E25" s="43"/>
      <c r="F25" s="43"/>
      <c r="G25" s="43"/>
      <c r="H25" s="43"/>
      <c r="I25" s="43"/>
      <c r="J25" s="43"/>
      <c r="K25" s="43"/>
    </row>
    <row r="26" ht="14.25" customHeight="1">
      <c r="A26" s="34" t="s">
        <v>238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</row>
    <row r="27" ht="14.25" customHeight="1">
      <c r="B27" s="43" t="s">
        <v>239</v>
      </c>
      <c r="C27" s="42" t="s">
        <v>85</v>
      </c>
      <c r="D27" s="42">
        <v>2020.0</v>
      </c>
      <c r="E27" s="43"/>
      <c r="F27" s="43"/>
      <c r="G27" s="43"/>
      <c r="H27" s="43"/>
      <c r="I27" s="42">
        <v>1.0</v>
      </c>
      <c r="J27" s="43"/>
      <c r="K27" s="43"/>
    </row>
    <row r="28" ht="14.25" customHeight="1">
      <c r="A28" s="34"/>
      <c r="D28" s="40"/>
      <c r="E28" s="40"/>
      <c r="F28" s="40"/>
    </row>
    <row r="29" ht="14.25" customHeight="1">
      <c r="A29" s="34"/>
      <c r="D29" s="40"/>
      <c r="E29" s="40"/>
      <c r="F29" s="40"/>
    </row>
    <row r="30" ht="14.25" customHeight="1">
      <c r="A30" s="34" t="s">
        <v>240</v>
      </c>
      <c r="D30" s="40"/>
      <c r="E30" s="40"/>
      <c r="F30" s="40"/>
    </row>
    <row r="31" ht="14.25" customHeight="1">
      <c r="B31" s="38" t="s">
        <v>241</v>
      </c>
      <c r="C31" s="39"/>
      <c r="D31" s="40"/>
      <c r="E31" s="40"/>
      <c r="F31" s="40"/>
    </row>
    <row r="32" ht="14.25" customHeight="1">
      <c r="C32" s="41" t="s">
        <v>88</v>
      </c>
      <c r="D32" s="40">
        <v>2014.0</v>
      </c>
      <c r="E32" s="40">
        <v>2021.0</v>
      </c>
      <c r="F32" s="40"/>
      <c r="H32" s="42">
        <v>2021.0</v>
      </c>
      <c r="I32" s="42">
        <v>5.0</v>
      </c>
      <c r="J32" s="42">
        <v>3.0</v>
      </c>
    </row>
    <row r="33" ht="14.25" customHeight="1">
      <c r="D33" s="40"/>
      <c r="E33" s="40"/>
      <c r="F33" s="40"/>
    </row>
    <row r="34" ht="14.25" customHeight="1">
      <c r="B34" s="38" t="s">
        <v>242</v>
      </c>
      <c r="D34" s="40"/>
      <c r="E34" s="40"/>
      <c r="F34" s="40"/>
    </row>
    <row r="35" ht="14.25" customHeight="1">
      <c r="C35" s="41" t="s">
        <v>55</v>
      </c>
      <c r="D35" s="40">
        <v>2015.0</v>
      </c>
      <c r="E35" s="40">
        <v>2015.0</v>
      </c>
      <c r="F35" s="40">
        <v>2020.0</v>
      </c>
      <c r="G35" s="41">
        <v>2017.0</v>
      </c>
      <c r="H35" s="42">
        <v>2020.0</v>
      </c>
      <c r="I35" s="42">
        <v>20.0</v>
      </c>
      <c r="J35" s="41">
        <v>3.0</v>
      </c>
    </row>
    <row r="36" ht="14.25" customHeight="1">
      <c r="C36" s="41" t="s">
        <v>57</v>
      </c>
      <c r="D36" s="40">
        <v>2015.0</v>
      </c>
      <c r="E36" s="40">
        <v>2015.0</v>
      </c>
      <c r="F36" s="40">
        <v>2020.0</v>
      </c>
      <c r="G36" s="41">
        <v>2017.0</v>
      </c>
      <c r="H36" s="42">
        <v>2020.0</v>
      </c>
      <c r="I36" s="42">
        <v>20.0</v>
      </c>
      <c r="J36" s="41">
        <v>3.0</v>
      </c>
    </row>
    <row r="37" ht="14.25" customHeight="1">
      <c r="C37" s="41" t="s">
        <v>58</v>
      </c>
      <c r="D37" s="40">
        <v>2015.0</v>
      </c>
      <c r="E37" s="40">
        <v>2015.0</v>
      </c>
      <c r="F37" s="40">
        <v>2019.0</v>
      </c>
      <c r="G37" s="41">
        <v>2017.0</v>
      </c>
      <c r="H37" s="42">
        <v>2019.0</v>
      </c>
      <c r="I37" s="42">
        <v>20.0</v>
      </c>
      <c r="J37" s="41">
        <v>3.0</v>
      </c>
    </row>
    <row r="38" ht="14.25" customHeight="1">
      <c r="D38" s="40"/>
      <c r="E38" s="40"/>
      <c r="F38" s="40"/>
    </row>
    <row r="39" ht="14.25" customHeight="1">
      <c r="A39" s="34" t="s">
        <v>243</v>
      </c>
      <c r="D39" s="40"/>
      <c r="E39" s="40"/>
      <c r="F39" s="40"/>
    </row>
    <row r="40" ht="14.25" customHeight="1">
      <c r="B40" s="38" t="s">
        <v>244</v>
      </c>
      <c r="C40" s="40" t="s">
        <v>51</v>
      </c>
      <c r="D40" s="40"/>
      <c r="F40" s="40"/>
      <c r="G40" s="45" t="s">
        <v>245</v>
      </c>
      <c r="I40" s="42">
        <v>10.0</v>
      </c>
      <c r="J40" s="42">
        <v>1.0</v>
      </c>
    </row>
    <row r="41" ht="14.25" customHeight="1">
      <c r="D41" s="40"/>
      <c r="E41" s="40"/>
      <c r="F41" s="40"/>
    </row>
    <row r="42" ht="14.25" customHeight="1">
      <c r="A42" s="35" t="s">
        <v>246</v>
      </c>
      <c r="D42" s="40"/>
      <c r="E42" s="40"/>
      <c r="F42" s="40"/>
    </row>
    <row r="43" ht="14.25" customHeight="1">
      <c r="B43" s="43" t="s">
        <v>93</v>
      </c>
      <c r="C43" s="42" t="s">
        <v>92</v>
      </c>
      <c r="D43" s="40">
        <v>2022.0</v>
      </c>
      <c r="E43" s="40">
        <v>2022.0</v>
      </c>
      <c r="F43" s="40"/>
      <c r="H43" s="42">
        <v>2022.0</v>
      </c>
      <c r="I43" s="42">
        <v>5.0</v>
      </c>
      <c r="J43" s="42">
        <v>3.0</v>
      </c>
    </row>
    <row r="44" ht="14.25" customHeight="1">
      <c r="A44" s="34"/>
      <c r="D44" s="40"/>
      <c r="E44" s="40"/>
      <c r="F44" s="40"/>
    </row>
    <row r="45" ht="14.25" customHeight="1">
      <c r="A45" s="34"/>
      <c r="D45" s="40"/>
      <c r="E45" s="40"/>
      <c r="F45" s="40"/>
    </row>
    <row r="46" ht="14.25" customHeight="1">
      <c r="A46" s="34"/>
      <c r="D46" s="40"/>
      <c r="E46" s="40"/>
      <c r="F46" s="40"/>
    </row>
    <row r="47" ht="14.25" customHeight="1">
      <c r="A47" s="34" t="s">
        <v>247</v>
      </c>
      <c r="D47" s="40"/>
      <c r="E47" s="40"/>
      <c r="F47" s="40"/>
    </row>
    <row r="48" ht="14.25" customHeight="1">
      <c r="A48" s="34" t="s">
        <v>248</v>
      </c>
      <c r="B48" s="38" t="s">
        <v>249</v>
      </c>
      <c r="D48" s="40"/>
      <c r="E48" s="40"/>
      <c r="F48" s="40"/>
    </row>
    <row r="49" ht="14.25" customHeight="1">
      <c r="B49" s="41" t="s">
        <v>250</v>
      </c>
      <c r="C49" s="40">
        <v>16.0</v>
      </c>
      <c r="D49" s="40">
        <v>2016.0</v>
      </c>
      <c r="E49" s="40"/>
      <c r="F49" s="40"/>
      <c r="I49" s="41">
        <v>16.0</v>
      </c>
    </row>
    <row r="50" ht="14.25" customHeight="1">
      <c r="D50" s="40"/>
      <c r="E50" s="40"/>
      <c r="F50" s="40"/>
    </row>
    <row r="51" ht="14.25" customHeight="1">
      <c r="A51" s="34" t="s">
        <v>251</v>
      </c>
      <c r="D51" s="40"/>
      <c r="E51" s="40"/>
      <c r="F51" s="40"/>
    </row>
    <row r="52" ht="14.25" customHeight="1">
      <c r="B52" s="43" t="s">
        <v>252</v>
      </c>
      <c r="C52" s="42" t="s">
        <v>253</v>
      </c>
      <c r="D52" s="42">
        <v>2019.0</v>
      </c>
      <c r="E52" s="42">
        <v>2019.0</v>
      </c>
      <c r="F52" s="42">
        <v>2019.0</v>
      </c>
      <c r="I52" s="42">
        <v>26.0</v>
      </c>
      <c r="J52" s="42">
        <v>3.0</v>
      </c>
    </row>
    <row r="53" ht="14.25" customHeight="1"/>
    <row r="54" ht="14.25" customHeight="1"/>
    <row r="55" ht="14.25" customHeight="1"/>
    <row r="56" ht="14.25" customHeight="1">
      <c r="A56" s="34" t="s">
        <v>254</v>
      </c>
      <c r="B56" s="34"/>
      <c r="C56" s="34">
        <f>counta(C5:C43,C52)+C49</f>
        <v>40</v>
      </c>
      <c r="D56" s="42" t="s">
        <v>255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4.25" customHeight="1">
      <c r="A57" s="34" t="s">
        <v>221</v>
      </c>
      <c r="B57" s="34"/>
      <c r="C57" s="34">
        <f>SUM(I5:I43)+I49+I52</f>
        <v>378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4.25" customHeight="1">
      <c r="A58" s="34" t="s">
        <v>222</v>
      </c>
      <c r="B58" s="34"/>
      <c r="C58" s="46">
        <f>SUM(J5:J43)+J52</f>
        <v>57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4.25" customHeight="1">
      <c r="A59" s="34" t="s">
        <v>256</v>
      </c>
      <c r="B59" s="34"/>
      <c r="C59" s="34">
        <f>C57+C58</f>
        <v>435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4.25" customHeight="1">
      <c r="A60" s="34" t="s">
        <v>257</v>
      </c>
      <c r="B60" s="34"/>
      <c r="C60" s="34">
        <f>COUNTA(B4:B46)+7+1</f>
        <v>17</v>
      </c>
      <c r="D60" s="42" t="s">
        <v>255</v>
      </c>
    </row>
    <row r="61" ht="14.25" customHeight="1">
      <c r="A61" s="35" t="s">
        <v>258</v>
      </c>
      <c r="C61" s="35">
        <v>10.0</v>
      </c>
      <c r="D61" s="42" t="s">
        <v>255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G1"/>
  </mergeCells>
  <printOptions/>
  <pageMargins bottom="0.39375" footer="0.0" header="0.0" left="0.25" right="0.26785714285714285" top="0.39375"/>
  <pageSetup scale="70" orientation="portrait"/>
  <headerFooter>
    <oddHeader>&amp;C&amp;A</oddHeader>
    <oddFooter>&amp;CPage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75"/>
    <col customWidth="1" min="2" max="2" width="25.88"/>
    <col customWidth="1" min="3" max="3" width="32.13"/>
    <col customWidth="1" min="4" max="23" width="16.13"/>
  </cols>
  <sheetData>
    <row r="1" ht="15.75" customHeight="1">
      <c r="A1" s="47" t="s">
        <v>259</v>
      </c>
      <c r="B1" s="47" t="s">
        <v>260</v>
      </c>
      <c r="C1" s="47" t="s">
        <v>261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  <c r="Y1" s="49"/>
      <c r="Z1" s="49"/>
    </row>
    <row r="2" ht="15.75" customHeight="1">
      <c r="A2" s="50" t="s">
        <v>262</v>
      </c>
      <c r="B2" s="50" t="s">
        <v>263</v>
      </c>
      <c r="C2" s="50" t="s">
        <v>264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9"/>
      <c r="Y2" s="49"/>
      <c r="Z2" s="49"/>
    </row>
    <row r="3" ht="15.75" customHeight="1">
      <c r="A3" s="50" t="s">
        <v>265</v>
      </c>
      <c r="B3" s="50" t="s">
        <v>266</v>
      </c>
      <c r="C3" s="50" t="s">
        <v>267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49"/>
      <c r="Z3" s="49"/>
    </row>
    <row r="4" ht="15.75" customHeight="1">
      <c r="A4" s="50" t="s">
        <v>268</v>
      </c>
      <c r="B4" s="50" t="s">
        <v>266</v>
      </c>
      <c r="C4" s="50" t="s">
        <v>267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49"/>
      <c r="Z4" s="49"/>
    </row>
    <row r="5" ht="15.75" customHeight="1">
      <c r="A5" s="50" t="s">
        <v>269</v>
      </c>
      <c r="B5" s="50" t="s">
        <v>266</v>
      </c>
      <c r="C5" s="50" t="s">
        <v>267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9"/>
      <c r="Y5" s="49"/>
      <c r="Z5" s="49"/>
    </row>
    <row r="6" ht="15.75" customHeight="1">
      <c r="A6" s="50" t="s">
        <v>270</v>
      </c>
      <c r="B6" s="50" t="s">
        <v>266</v>
      </c>
      <c r="C6" s="50" t="s">
        <v>267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  <c r="Y6" s="49"/>
      <c r="Z6" s="49"/>
    </row>
    <row r="7" ht="15.75" customHeight="1">
      <c r="A7" s="50" t="s">
        <v>271</v>
      </c>
      <c r="B7" s="50" t="s">
        <v>266</v>
      </c>
      <c r="C7" s="50" t="s">
        <v>267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  <c r="Y7" s="49"/>
      <c r="Z7" s="49"/>
    </row>
    <row r="8" ht="15.75" customHeight="1">
      <c r="A8" s="50" t="s">
        <v>272</v>
      </c>
      <c r="B8" s="50" t="s">
        <v>266</v>
      </c>
      <c r="C8" s="50" t="s">
        <v>267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  <c r="Y8" s="49"/>
      <c r="Z8" s="49"/>
    </row>
    <row r="9" ht="15.75" customHeight="1">
      <c r="A9" s="50" t="s">
        <v>273</v>
      </c>
      <c r="B9" s="50" t="s">
        <v>266</v>
      </c>
      <c r="C9" s="50" t="s">
        <v>267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  <c r="Y9" s="49"/>
      <c r="Z9" s="49"/>
    </row>
    <row r="10" ht="15.75" customHeight="1">
      <c r="A10" s="50" t="s">
        <v>249</v>
      </c>
      <c r="B10" s="50" t="s">
        <v>274</v>
      </c>
      <c r="C10" s="50" t="s">
        <v>275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49"/>
      <c r="Z10" s="49"/>
    </row>
    <row r="11" ht="15.75" customHeight="1">
      <c r="A11" s="50" t="s">
        <v>276</v>
      </c>
      <c r="B11" s="50" t="s">
        <v>274</v>
      </c>
      <c r="C11" s="50" t="s">
        <v>275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9"/>
      <c r="Y11" s="49"/>
      <c r="Z11" s="49"/>
    </row>
    <row r="12" ht="15.75" customHeight="1">
      <c r="A12" s="50" t="s">
        <v>277</v>
      </c>
      <c r="B12" s="50" t="s">
        <v>274</v>
      </c>
      <c r="C12" s="50" t="s">
        <v>275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  <c r="Y12" s="49"/>
      <c r="Z12" s="49"/>
    </row>
    <row r="13" ht="15.75" customHeight="1">
      <c r="A13" s="50" t="s">
        <v>278</v>
      </c>
      <c r="B13" s="50" t="s">
        <v>274</v>
      </c>
      <c r="C13" s="50" t="s">
        <v>279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  <c r="Y13" s="49"/>
      <c r="Z13" s="49"/>
    </row>
    <row r="14" ht="15.75" customHeight="1">
      <c r="A14" s="50" t="s">
        <v>280</v>
      </c>
      <c r="B14" s="50" t="s">
        <v>281</v>
      </c>
      <c r="C14" s="50" t="s">
        <v>282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  <c r="Y14" s="49"/>
      <c r="Z14" s="49"/>
    </row>
    <row r="15" ht="15.75" customHeight="1">
      <c r="A15" s="50" t="s">
        <v>283</v>
      </c>
      <c r="B15" s="50" t="s">
        <v>263</v>
      </c>
      <c r="C15" s="50" t="s">
        <v>284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9"/>
      <c r="Y15" s="49"/>
      <c r="Z15" s="49"/>
    </row>
    <row r="16" ht="15.75" customHeight="1">
      <c r="A16" s="50" t="s">
        <v>285</v>
      </c>
      <c r="B16" s="50" t="s">
        <v>263</v>
      </c>
      <c r="C16" s="50" t="s">
        <v>284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9"/>
      <c r="Y16" s="49"/>
      <c r="Z16" s="49"/>
    </row>
    <row r="17" ht="15.75" customHeight="1">
      <c r="A17" s="50" t="s">
        <v>286</v>
      </c>
      <c r="B17" s="50" t="s">
        <v>281</v>
      </c>
      <c r="C17" s="50" t="s">
        <v>287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9"/>
      <c r="Y17" s="49"/>
      <c r="Z17" s="49"/>
    </row>
    <row r="18" ht="15.7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9375" footer="0.0" header="0.0" left="0.0" right="0.0" top="0.39375"/>
  <pageSetup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">
      <c r="A2" s="42" t="s">
        <v>288</v>
      </c>
    </row>
    <row r="3">
      <c r="A3" s="42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26.38"/>
  </cols>
  <sheetData>
    <row r="1">
      <c r="A1" s="51" t="s">
        <v>290</v>
      </c>
      <c r="B1" s="52" t="s">
        <v>291</v>
      </c>
    </row>
    <row r="4">
      <c r="A4" s="53" t="s">
        <v>292</v>
      </c>
      <c r="B4" s="54"/>
      <c r="C4" s="54"/>
      <c r="D4" s="54"/>
      <c r="E4" s="54"/>
      <c r="F4" s="54"/>
      <c r="G4" s="54"/>
      <c r="H4" s="54"/>
      <c r="I4" s="54"/>
      <c r="J4" s="54"/>
      <c r="K4" s="54"/>
    </row>
    <row r="6">
      <c r="A6" s="55" t="s">
        <v>16</v>
      </c>
      <c r="B6" s="56" t="s">
        <v>293</v>
      </c>
      <c r="C6" s="57"/>
      <c r="D6" s="57"/>
      <c r="E6" s="57"/>
      <c r="F6" s="57"/>
      <c r="G6" s="57"/>
      <c r="H6" s="57"/>
      <c r="I6" s="57"/>
      <c r="J6" s="57"/>
      <c r="K6" s="58"/>
    </row>
    <row r="7">
      <c r="A7" s="59" t="s">
        <v>70</v>
      </c>
      <c r="B7" s="56" t="s">
        <v>294</v>
      </c>
      <c r="C7" s="60"/>
      <c r="D7" s="60"/>
      <c r="E7" s="60"/>
      <c r="F7" s="60"/>
      <c r="G7" s="60"/>
      <c r="H7" s="60"/>
      <c r="I7" s="60"/>
      <c r="J7" s="60"/>
      <c r="K7" s="61"/>
    </row>
    <row r="8">
      <c r="B8" s="62"/>
    </row>
    <row r="9">
      <c r="B9" s="62"/>
    </row>
    <row r="10">
      <c r="B10" s="62"/>
    </row>
    <row r="11">
      <c r="A11" s="53" t="s">
        <v>295</v>
      </c>
      <c r="B11" s="63" t="s">
        <v>296</v>
      </c>
      <c r="C11" s="54"/>
      <c r="D11" s="54"/>
      <c r="E11" s="54"/>
      <c r="F11" s="54"/>
      <c r="G11" s="54"/>
      <c r="H11" s="54"/>
      <c r="I11" s="54"/>
      <c r="J11" s="54"/>
      <c r="K11" s="54"/>
    </row>
    <row r="12">
      <c r="B12" s="62"/>
    </row>
    <row r="13">
      <c r="A13" s="64" t="s">
        <v>20</v>
      </c>
      <c r="B13" s="65" t="s">
        <v>297</v>
      </c>
    </row>
    <row r="14">
      <c r="A14" s="64" t="s">
        <v>298</v>
      </c>
      <c r="B14" s="65" t="s">
        <v>299</v>
      </c>
      <c r="C14" s="52"/>
      <c r="D14" s="52"/>
      <c r="E14" s="52"/>
      <c r="F14" s="52"/>
      <c r="G14" s="52"/>
      <c r="H14" s="52"/>
      <c r="I14" s="52"/>
      <c r="J14" s="52"/>
      <c r="K14" s="52"/>
    </row>
    <row r="15" ht="30.75" customHeight="1">
      <c r="A15" s="64" t="s">
        <v>46</v>
      </c>
      <c r="B15" s="66" t="s">
        <v>300</v>
      </c>
      <c r="C15" s="67"/>
      <c r="D15" s="67"/>
      <c r="E15" s="67"/>
      <c r="F15" s="67"/>
      <c r="G15" s="67"/>
      <c r="H15" s="67"/>
      <c r="I15" s="67"/>
      <c r="J15" s="67"/>
      <c r="K15" s="67"/>
    </row>
    <row r="16">
      <c r="A16" s="64" t="s">
        <v>87</v>
      </c>
      <c r="B16" s="65" t="s">
        <v>301</v>
      </c>
    </row>
    <row r="17">
      <c r="A17" s="64" t="s">
        <v>83</v>
      </c>
      <c r="B17" s="65" t="s">
        <v>302</v>
      </c>
    </row>
    <row r="18">
      <c r="A18" s="68" t="s">
        <v>303</v>
      </c>
      <c r="B18" s="65" t="s">
        <v>304</v>
      </c>
    </row>
  </sheetData>
  <hyperlinks>
    <hyperlink r:id="rId1" ref="B11"/>
  </hyperlinks>
  <drawing r:id="rId2"/>
</worksheet>
</file>